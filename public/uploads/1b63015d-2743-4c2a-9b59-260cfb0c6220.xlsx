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D:\"/>
    </mc:Choice>
  </mc:AlternateContent>
  <xr:revisionPtr revIDLastSave="0" documentId="13_ncr:1_{FA08C0E9-4646-4D0C-8403-C5741F8BFA48}" xr6:coauthVersionLast="47" xr6:coauthVersionMax="47" xr10:uidLastSave="{00000000-0000-0000-0000-000000000000}"/>
  <bookViews>
    <workbookView xWindow="-120" yWindow="-120" windowWidth="20730" windowHeight="11040" tabRatio="965" firstSheet="2" activeTab="2" xr2:uid="{00000000-000D-0000-FFFF-FFFF00000000}"/>
  </bookViews>
  <sheets>
    <sheet name="Guide" sheetId="8" state="hidden" r:id="rId1"/>
    <sheet name="paramètres" sheetId="22" state="hidden" r:id="rId2"/>
    <sheet name="1-Navette achat et autorisation" sheetId="6" r:id="rId3"/>
    <sheet name="Procédures DRFME" sheetId="17" state="hidden" r:id="rId4"/>
    <sheet name="Astuce de calcul" sheetId="14" state="hidden" r:id="rId5"/>
    <sheet name="Liste déroulante" sheetId="9" state="hidden" r:id="rId6"/>
    <sheet name="Activité" sheetId="10" state="hidden" r:id="rId7"/>
  </sheets>
  <definedNames>
    <definedName name="_1__xlnm.Print_Area">#REF!</definedName>
    <definedName name="Activité">Activité!$C$3:$C$50</definedName>
    <definedName name="AFEI">#REF!</definedName>
    <definedName name="Cen_ben">'Liste déroulante'!$F$8:$F$24</definedName>
    <definedName name="service">paramètres!$E$4:$E$25</definedName>
    <definedName name="_xlnm.Print_Area" localSheetId="2">'1-Navette achat et autorisation'!$B$2:$N$42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6" l="1"/>
  <c r="I16" i="6" l="1"/>
  <c r="I17" i="6"/>
  <c r="I18" i="6"/>
  <c r="I19" i="6"/>
  <c r="I20" i="6"/>
  <c r="I21" i="6"/>
  <c r="I22" i="6"/>
  <c r="I15" i="6"/>
  <c r="E19" i="14" l="1"/>
  <c r="E17" i="14"/>
  <c r="E18" i="14" s="1"/>
  <c r="E10" i="14"/>
  <c r="E9" i="14"/>
  <c r="B21" i="6" l="1"/>
  <c r="B22" i="6"/>
  <c r="B15" i="6"/>
  <c r="I27" i="6" l="1"/>
  <c r="B16" i="6"/>
  <c r="B17" i="6" s="1"/>
  <c r="B18" i="6" s="1"/>
  <c r="B19" i="6" l="1"/>
  <c r="B20"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Windows</author>
  </authors>
  <commentList>
    <comment ref="L14" authorId="0" shapeId="0" xr:uid="{00000000-0006-0000-0100-000001000000}">
      <text>
        <r>
          <rPr>
            <sz val="12"/>
            <color indexed="81"/>
            <rFont val="Tahoma"/>
            <family val="2"/>
          </rPr>
          <t xml:space="preserve">A remplir </t>
        </r>
      </text>
    </comment>
    <comment ref="N14" authorId="0" shapeId="0" xr:uid="{00000000-0006-0000-0100-000002000000}">
      <text>
        <r>
          <rPr>
            <sz val="12"/>
            <color indexed="81"/>
            <rFont val="Tahoma"/>
            <family val="2"/>
          </rPr>
          <t>Veuiiez choisir les activités relatives à cette demande. Dans le cas où  elle n'y est pas figurée, veuillez r emplir à la main</t>
        </r>
      </text>
    </comment>
  </commentList>
</comments>
</file>

<file path=xl/sharedStrings.xml><?xml version="1.0" encoding="utf-8"?>
<sst xmlns="http://schemas.openxmlformats.org/spreadsheetml/2006/main" count="193" uniqueCount="181">
  <si>
    <t>Centre bénéficiaire</t>
  </si>
  <si>
    <t>P U</t>
  </si>
  <si>
    <t>AF</t>
  </si>
  <si>
    <t>MONTANT FINAL</t>
  </si>
  <si>
    <t>Liste Déroulante</t>
  </si>
  <si>
    <t>Cen_ben</t>
  </si>
  <si>
    <t>AP</t>
  </si>
  <si>
    <t>FIP</t>
  </si>
  <si>
    <t>DVP</t>
  </si>
  <si>
    <t>QUAL</t>
  </si>
  <si>
    <t>PEDA</t>
  </si>
  <si>
    <t>BOE</t>
  </si>
  <si>
    <t>LYC</t>
  </si>
  <si>
    <t>PBC</t>
  </si>
  <si>
    <t>ECAREVA</t>
  </si>
  <si>
    <t>ISO</t>
  </si>
  <si>
    <t>NDT</t>
  </si>
  <si>
    <t>ADV</t>
  </si>
  <si>
    <t>AKI</t>
  </si>
  <si>
    <t>ABK</t>
  </si>
  <si>
    <t>ALK</t>
  </si>
  <si>
    <t>Activité</t>
  </si>
  <si>
    <t>Code</t>
  </si>
  <si>
    <t>miaraka</t>
  </si>
  <si>
    <t>miarak</t>
  </si>
  <si>
    <t>Casco</t>
  </si>
  <si>
    <t>casco</t>
  </si>
  <si>
    <t xml:space="preserve">Montant </t>
  </si>
  <si>
    <t xml:space="preserve">RAKOTONIRINA Hery  M </t>
  </si>
  <si>
    <t>CG</t>
  </si>
  <si>
    <t>Fonction :</t>
  </si>
  <si>
    <t>Nom et prénoms :</t>
  </si>
  <si>
    <t>Service :</t>
  </si>
  <si>
    <t>Code nom :</t>
  </si>
  <si>
    <t>Commentaires : (facultatifs)</t>
  </si>
  <si>
    <t>Navette</t>
  </si>
  <si>
    <t>DPR</t>
  </si>
  <si>
    <t>Annexes :</t>
  </si>
  <si>
    <t>Les navettes sont destinées à présenter une situation globale des demandes.</t>
  </si>
  <si>
    <t>Qté</t>
  </si>
  <si>
    <t>4 - DRFMS : Formulaire de Demande de Remboursement de Frais Médicaux des Salariés</t>
  </si>
  <si>
    <t>GUIDE D'UTILISATION</t>
  </si>
  <si>
    <t xml:space="preserve"> Cette formulaire concerne les demandes d'achats qui nécessitent étude de marché,analyse de prix. </t>
  </si>
  <si>
    <t>Quatre types de formulaires sont disponibles : Des commentaires y sont insérés pour servir de guide d'utilisation et remplissage</t>
  </si>
  <si>
    <t>1 - Formulaire "Navette d'achat et Autorisation":</t>
  </si>
  <si>
    <t xml:space="preserve">2 - Formulaire "Navette de paiement périodiques" : </t>
  </si>
  <si>
    <t>Pour beaucoup de cas, il est recommandé de faire suivre les navettes avec des annexes qui détaillent les demandes, qui expliquent en détails le projet ou motif de la demande</t>
  </si>
  <si>
    <t>3 - Formulaire Autorisation formelle d'Engagement AFE à destination de l'équipe AF</t>
  </si>
  <si>
    <t>A - FORMULAIRES  de DEMANDE :</t>
  </si>
  <si>
    <t>B - FACTURES :</t>
  </si>
  <si>
    <t>Compte tenu de l'absence de facture en bonne et due forme pour certaines prestations que nous sollicitons à des fournisseurs/prestataires, ces modèles de factures sont élaborées afin de faciliter le fournisseur ou le prestataire lors de notre facturation</t>
  </si>
  <si>
    <t>Il y a deux modèles : l'une pour un prestataire qui dispose d'une identité Fiscale et l'autre pour celui qui n'en a pas</t>
  </si>
  <si>
    <t>Pour remplir la facture, voici l'étape à faire</t>
  </si>
  <si>
    <t>Facture avec NIF</t>
  </si>
  <si>
    <t>1-</t>
  </si>
  <si>
    <t xml:space="preserve"> </t>
  </si>
  <si>
    <t>2-</t>
  </si>
  <si>
    <t>Exemple</t>
  </si>
  <si>
    <t>Montant TTC = 30 000 Ar</t>
  </si>
  <si>
    <t>a)  TVA = (Montant TTC/6)</t>
  </si>
  <si>
    <t>TVA = (Montant TTC/6) = 30 000 Ar/6 = 5 000 Ar</t>
  </si>
  <si>
    <t>Montant HT = (Montant TTC/1,2) = 30 000/1,2 = 25 000 Ar</t>
  </si>
  <si>
    <t>b) Montant HT = (Montant TTC/1,2)  ou</t>
  </si>
  <si>
    <t>Facture Sans NIF</t>
  </si>
  <si>
    <t>Remplir d'abord le montant TTC (montant effectivement payé au fournisseur)</t>
  </si>
  <si>
    <t>Remplir d'abord le Net à payer (montant effectivement payé au fournisseur)</t>
  </si>
  <si>
    <t>a) ISI = Net à payer x 5,26%</t>
  </si>
  <si>
    <t>b) Montant Total = (Net à payer + ISI )    ou</t>
  </si>
  <si>
    <t>c) Montant Total = (Net à payer/0,95)</t>
  </si>
  <si>
    <t>Montant repas = 3 400 Ar</t>
  </si>
  <si>
    <t>a) ISI = Net à payer x 5,26% = 3 400 Ar x 5,26% =</t>
  </si>
  <si>
    <t>178,95 = 179 Ar</t>
  </si>
  <si>
    <t>b) Montant Total = (Net à payer + ISI ) = 3 400 Ar + 179 Ar = 3 578,95  Ar= 3 579 Ar</t>
  </si>
  <si>
    <t>c) Montant Total = (Net à payer/0,95)=3 400 Ar / 0,95 = 3 578,94 Ar = 3 579 Ar</t>
  </si>
  <si>
    <t>Matricule :</t>
  </si>
  <si>
    <t>Contact :</t>
  </si>
  <si>
    <t xml:space="preserve">Email : </t>
  </si>
  <si>
    <t>Date  dépôt :</t>
  </si>
  <si>
    <t xml:space="preserve">Description </t>
  </si>
  <si>
    <t>Date : ……………………………….</t>
  </si>
  <si>
    <t xml:space="preserve">Le Contrôleur </t>
  </si>
  <si>
    <t>de Gestion</t>
  </si>
  <si>
    <t>Signatures Valideurs</t>
  </si>
  <si>
    <t>Date : …………………………………………</t>
  </si>
  <si>
    <t>de service</t>
  </si>
  <si>
    <t>Copier ici le montant</t>
  </si>
  <si>
    <t>Noms et Signatures demandeurs</t>
  </si>
  <si>
    <t>Voici la récapitulation de notre DRFME</t>
  </si>
  <si>
    <t>Service</t>
  </si>
  <si>
    <t>Article</t>
  </si>
  <si>
    <t>IR</t>
  </si>
  <si>
    <t>1.4.1.7 Santé (page 26)</t>
  </si>
  <si>
    <t>- incitation aux parents d'inscrire leurs enfants aux mutuelles de santé des CSB au niveau des IR
- mise à la disposition de trousse de pharmacie de soin d'urgence et petis soins au niveau d'IR</t>
  </si>
  <si>
    <t>2.2.14 Visite médicale (page 37)</t>
  </si>
  <si>
    <t>Visite médicale à notre charge</t>
  </si>
  <si>
    <t>- C'est le tuteur/correspondant qui accompagne l'élève chez le médecin
- Les soins dentaires, oreilles, yeux sont remboursés à 50% sur présentation d'ordonnance et facture en bonne et due forme</t>
  </si>
  <si>
    <t>pourquoi effectivements ces soins?</t>
  </si>
  <si>
    <t>LYCEE</t>
  </si>
  <si>
    <t>-remboursement soins dentaires et opthalmologie à 50%</t>
  </si>
  <si>
    <t>pourqoui ces soins spécialement?</t>
  </si>
  <si>
    <t>Un point d'insistance est pour les étudiants bénéficiaires de bourse de CERES = SUP?</t>
  </si>
  <si>
    <t>SUP</t>
  </si>
  <si>
    <t>4.2.3.11 Prise en charge médicale sur l'ophtalmologie et dentaire</t>
  </si>
  <si>
    <t>-remboursement à 50%</t>
  </si>
  <si>
    <t>néant</t>
  </si>
  <si>
    <t>aucune mention</t>
  </si>
  <si>
    <t>on suppose qu'en cas de besoin d'intervention d'urgence ou petit soin, c'est l'AF qui s'en occupe</t>
  </si>
  <si>
    <t>Remarque</t>
  </si>
  <si>
    <t>Contenu</t>
  </si>
  <si>
    <t>3.14  Santé (page 64)</t>
  </si>
  <si>
    <t>2.12.3 Santé des élèves   (page 49)</t>
  </si>
  <si>
    <t>Remarques globales</t>
  </si>
  <si>
    <t>- Analyses, hospitalisations et autres traitements : remboursable à 50% mais soumis à des conditions de motivation du jeune et boursier, le comité de décision est composé de Responsable SLY, du référent, des délégués de parent, du DPR
- accusation de réception par l'élève</t>
  </si>
  <si>
    <t>Contrôleur de Gestion</t>
  </si>
  <si>
    <t>- une convention de soin a été faite avec le centre Padre PIO. Il ne facture qu'à moitié les élèves qui s'y soignent. Ceres ne rembourse rien.</t>
  </si>
  <si>
    <t>- une intervention d'opthalmologie, dentaires auprès de Padre PIO sera remboursé à 50% de la facture émise c’est-à-dire le 25% du montant réel du soin</t>
  </si>
  <si>
    <t>- Les élèves FIP peuvent venir profiter et s'y soigner car moitié prix (pas de prise en charge de CERES)</t>
  </si>
  <si>
    <t>En outre,</t>
  </si>
  <si>
    <t xml:space="preserve">Centre de soin  PADRE PIO - ANTAMPONJINA
</t>
  </si>
  <si>
    <t>a) Les soins pris en charge à moitié sont les soins : dents, oreilles, yeux. Pourquoi spécialement ces soins?</t>
  </si>
  <si>
    <t>b) Il manque d'informations/historiques pour savoir
                  - pourquoi les élèves d'IR ne bénéficient pas de remboursement de soins Dents, oreilles, yeux
                  - pourquoi en SLY (Suivi Lycéens), le remboursement d'autres soins est possible et confié à une commission</t>
  </si>
  <si>
    <t>Sources : guide des procédures du programme CERES</t>
  </si>
  <si>
    <t>Freddy</t>
  </si>
  <si>
    <t>ils sont déjà hébergé et proche de parents</t>
  </si>
  <si>
    <t>CPF -IE
 (ancien AP)</t>
  </si>
  <si>
    <t>Objet de la navette :</t>
  </si>
  <si>
    <t>N°</t>
  </si>
  <si>
    <t>Motif</t>
  </si>
  <si>
    <t>Fournisseur</t>
  </si>
  <si>
    <t>A remplir par le Demandeur</t>
  </si>
  <si>
    <t>Demandeur et/ou AF</t>
  </si>
  <si>
    <t>Justification
choix</t>
  </si>
  <si>
    <t>Code
 TIGER</t>
  </si>
  <si>
    <t>Devis 
(*)</t>
  </si>
  <si>
    <t>(*) NB : 100 000 &lt; 1 Devis &lt;1 000 000 &lt;2 Devis &lt; 2 000 000 Ar &lt; 3 devis &lt; 5 000 000 Ar &lt; 4 Devis &lt; 16 000 000 &lt; Appel d'offres ouvert national</t>
  </si>
  <si>
    <t>Date : ……………………</t>
  </si>
  <si>
    <t>Imputation comptable</t>
  </si>
  <si>
    <t>NAVETTE  ACHAT ET AUTORISATION</t>
  </si>
  <si>
    <t>Navette : modification insertion Zo informaticien + Tiana Acheteur + différents Services</t>
  </si>
  <si>
    <t>Services</t>
  </si>
  <si>
    <t>PAR : Parcours Réussite</t>
  </si>
  <si>
    <t>CEL - PED : Pôle Education</t>
  </si>
  <si>
    <t xml:space="preserve">Date : </t>
  </si>
  <si>
    <t xml:space="preserve">Modification </t>
  </si>
  <si>
    <t>les plus fréquents (Hery)</t>
  </si>
  <si>
    <t>c) La prise en charge étendue de remboursement de frais médicaux est insistée sur les "boursiers" dans SLY (lycée) : qui sont les boursiers en Lycée? Ce sont les élèves aux parents très démunies et que Ceres aide par des bourses de vie en riz</t>
  </si>
  <si>
    <t>Olivia NJARAMANANA</t>
  </si>
  <si>
    <t xml:space="preserve">PEX : Parcours Excellence </t>
  </si>
  <si>
    <t>PEX: Parcours Excellence</t>
  </si>
  <si>
    <t>Pôle Enseignement  : FIP</t>
  </si>
  <si>
    <t>Pôle Enseignement  : Collège Privé</t>
  </si>
  <si>
    <t>ensuite, voici la TVA et et le montant HTVA à inscrire</t>
  </si>
  <si>
    <t>ensuite, remplir  ISI 5%</t>
  </si>
  <si>
    <t>Code budgétaire + Activité</t>
  </si>
  <si>
    <t>Dorénavant (Décembre 2022), les étudiants PAR bénéficie de remboursement. Les parents sont invités à prendre de formulaire auprès des Educateurs</t>
  </si>
  <si>
    <r>
      <t xml:space="preserve">Cette formulaire concerne les demandes de paiements des charges périodiques (mensuels, trimestriels,,,) comme les loyers, les écolages, les cartes carburants… En effet, ces charges ne font plus d'analyse comparative de prix mais suivent des contrats déjà établis et qui n'attendent que les périodes de paiements;
</t>
    </r>
    <r>
      <rPr>
        <b/>
        <sz val="11"/>
        <color theme="1"/>
        <rFont val="Calibri"/>
        <family val="2"/>
        <scheme val="minor"/>
      </rPr>
      <t>- Pour le paiement des frais de scolarité, la navette est à déposer directement au Comptable mais ne passe plus par l'ALSG.</t>
    </r>
  </si>
  <si>
    <t xml:space="preserve">La date limite de dépôt de navette est chaque jeudi à 12 heures. La durée de traitement si une étude de marché est indispensable est de 2 semaines. Cette durée diminue de 01 semaine si navette </t>
  </si>
  <si>
    <t>Joseph RANAIVOSON</t>
  </si>
  <si>
    <t>AAL</t>
  </si>
  <si>
    <t xml:space="preserve">Caroline DE TAPOL </t>
  </si>
  <si>
    <t>Le Responsable Financier</t>
  </si>
  <si>
    <t>La Directrice de Programme</t>
  </si>
  <si>
    <t>L'Acheteur</t>
  </si>
  <si>
    <t>Le Chef</t>
  </si>
  <si>
    <t xml:space="preserve">        Le Demandeur</t>
  </si>
  <si>
    <t>Finance</t>
  </si>
  <si>
    <t>RH &amp; Admin</t>
  </si>
  <si>
    <t>CEL - Finance : Administration et Finance</t>
  </si>
  <si>
    <t>CEL - RH&amp;Admin : Ressources Humaines et Admin</t>
  </si>
  <si>
    <t>Annick SOAMANDEFITRA</t>
  </si>
  <si>
    <t>Version 01/2025</t>
  </si>
  <si>
    <t>NARINDRANIAINA Marie Jacqueline</t>
  </si>
  <si>
    <t>CBOE</t>
  </si>
  <si>
    <t>JAQ</t>
  </si>
  <si>
    <t>PCRS 0082</t>
  </si>
  <si>
    <t>034 78 399 25</t>
  </si>
  <si>
    <t>Conférence métier T2 2nd</t>
  </si>
  <si>
    <t xml:space="preserve">Sortie de l'orientation pour la classe de 2nd </t>
  </si>
  <si>
    <t>Indemnité d'intervention du professionnel au nom de ROJOMAMPIONONA MIADANANA FLORENCE</t>
  </si>
  <si>
    <t>Séance ORT IE</t>
  </si>
  <si>
    <t xml:space="preserve">Indemnité d'intervention du professionnel  au nom de RANDRIANANDRASANA Jean Christophe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</si>
</sst>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_(* #,##0_);_(* \(#,##0\);_(* &quot;-&quot;_);_(@_)"/>
    <numFmt numFmtId="166" formatCode="&quot;S &quot;\ 0"/>
    <numFmt numFmtId="167" formatCode="_-* #,##0\ _€_-;\-* #,##0\ _€_-;_-* &quot;-&quot;??\ _€_-;_-@_-"/>
    <numFmt numFmtId="168" formatCode="#,##0&quot; Ar&quot;"/>
    <numFmt numFmtId="169" formatCode="0.0"/>
    <numFmt numFmtId="170" formatCode="[$-F800]dddd\,\ mmmm\ dd\,\ yyyy"/>
  </numFmts>
  <fonts count="17">
    <font>
      <sz val="11"/>
      <color theme="1"/>
      <name val="Calibri"/>
      <family val="2"/>
      <scheme val="minor"/>
    </font>
    <font>
      <sz val="11"/>
      <color theme="1"/>
      <name val="Calibri"/>
      <family val="2"/>
      <scheme val="minor"/>
    </font>
    <font>
      <sz val="10"/>
      <name val="Verdana"/>
      <family val="2"/>
    </font>
    <font>
      <sz val="12"/>
      <color indexed="8"/>
      <name val="Calibri"/>
      <family val="2"/>
    </font>
    <font>
      <sz val="12"/>
      <color theme="1"/>
      <name val="Calibri"/>
      <family val="2"/>
      <scheme val="minor"/>
    </font>
    <font>
      <b/>
      <sz val="14"/>
      <color theme="1"/>
      <name val="Calibri"/>
      <family val="2"/>
      <scheme val="minor"/>
    </font>
    <font>
      <b/>
      <sz val="20"/>
      <color theme="1"/>
      <name val="Calibri"/>
      <family val="2"/>
      <scheme val="minor"/>
    </font>
    <font>
      <sz val="12"/>
      <color indexed="81"/>
      <name val="Tahoma"/>
      <family val="2"/>
    </font>
    <font>
      <b/>
      <sz val="12"/>
      <color theme="1"/>
      <name val="Times New Roman"/>
      <family val="1"/>
    </font>
    <font>
      <b/>
      <sz val="16"/>
      <color theme="1"/>
      <name val="Times New Roman"/>
      <family val="1"/>
    </font>
    <font>
      <b/>
      <sz val="24"/>
      <color theme="1"/>
      <name val="Times New Roman"/>
      <family val="1"/>
    </font>
    <font>
      <sz val="12"/>
      <color theme="1"/>
      <name val="Times New Roman"/>
      <family val="1"/>
    </font>
    <font>
      <b/>
      <sz val="11"/>
      <color theme="1"/>
      <name val="Calibri"/>
      <family val="2"/>
      <scheme val="minor"/>
    </font>
    <font>
      <u/>
      <sz val="11"/>
      <color theme="10"/>
      <name val="Calibri"/>
      <family val="2"/>
      <scheme val="minor"/>
    </font>
    <font>
      <i/>
      <sz val="11"/>
      <color theme="1"/>
      <name val="Times New Roman"/>
      <family val="1"/>
    </font>
    <font>
      <strike/>
      <sz val="11"/>
      <color theme="1"/>
      <name val="Calibri"/>
      <family val="2"/>
      <scheme val="minor"/>
    </font>
    <font>
      <b/>
      <sz val="11"/>
      <color theme="1"/>
      <name val="Vollkorn Regula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s>
  <borders count="31">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top style="thin">
        <color auto="1"/>
      </top>
      <bottom style="thin">
        <color auto="1"/>
      </bottom>
      <diagonal/>
    </border>
    <border>
      <left/>
      <right/>
      <top style="thin">
        <color auto="1"/>
      </top>
      <bottom/>
      <diagonal/>
    </border>
    <border>
      <left/>
      <right/>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indexed="64"/>
      </left>
      <right/>
      <top/>
      <bottom/>
      <diagonal/>
    </border>
    <border>
      <left/>
      <right style="thin">
        <color indexed="64"/>
      </right>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9">
    <xf numFmtId="0" fontId="0" fillId="0" borderId="0"/>
    <xf numFmtId="0" fontId="1" fillId="0" borderId="0"/>
    <xf numFmtId="0" fontId="2" fillId="0" borderId="0"/>
    <xf numFmtId="0" fontId="3" fillId="0" borderId="0"/>
    <xf numFmtId="165" fontId="2" fillId="0" borderId="0" applyFont="0" applyFill="0" applyBorder="0" applyAlignment="0" applyProtection="0"/>
    <xf numFmtId="0" fontId="2" fillId="0" borderId="0"/>
    <xf numFmtId="0" fontId="4" fillId="0" borderId="0"/>
    <xf numFmtId="164" fontId="1" fillId="0" borderId="0" applyFont="0" applyFill="0" applyBorder="0" applyAlignment="0" applyProtection="0"/>
    <xf numFmtId="0" fontId="13" fillId="0" borderId="0" applyNumberFormat="0" applyFill="0" applyBorder="0" applyAlignment="0" applyProtection="0"/>
  </cellStyleXfs>
  <cellXfs count="186">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wrapText="1"/>
    </xf>
    <xf numFmtId="0" fontId="0" fillId="4" borderId="3" xfId="0" applyFill="1" applyBorder="1"/>
    <xf numFmtId="0" fontId="0" fillId="2" borderId="3" xfId="0" applyFill="1" applyBorder="1"/>
    <xf numFmtId="0" fontId="0" fillId="0" borderId="3" xfId="0" applyBorder="1"/>
    <xf numFmtId="0" fontId="0" fillId="0" borderId="3" xfId="0" applyBorder="1" applyAlignment="1">
      <alignment horizontal="center"/>
    </xf>
    <xf numFmtId="0" fontId="0" fillId="2" borderId="5" xfId="0" applyFill="1" applyBorder="1" applyProtection="1">
      <protection locked="0"/>
    </xf>
    <xf numFmtId="0" fontId="4" fillId="2" borderId="0" xfId="0" applyFont="1" applyFill="1" applyProtection="1">
      <protection locked="0"/>
    </xf>
    <xf numFmtId="0" fontId="4" fillId="2" borderId="7" xfId="0" applyFont="1" applyFill="1" applyBorder="1" applyProtection="1">
      <protection locked="0"/>
    </xf>
    <xf numFmtId="166" fontId="4" fillId="2" borderId="0" xfId="0" applyNumberFormat="1" applyFont="1" applyFill="1" applyAlignment="1">
      <alignment horizontal="center"/>
    </xf>
    <xf numFmtId="0" fontId="4" fillId="2" borderId="5" xfId="0" applyFont="1" applyFill="1" applyBorder="1" applyProtection="1">
      <protection locked="0"/>
    </xf>
    <xf numFmtId="0" fontId="11" fillId="2" borderId="0" xfId="0" applyFont="1" applyFill="1"/>
    <xf numFmtId="0" fontId="11" fillId="2" borderId="7" xfId="0" applyFont="1" applyFill="1" applyBorder="1" applyProtection="1">
      <protection locked="0"/>
    </xf>
    <xf numFmtId="0" fontId="11" fillId="2" borderId="5" xfId="0" applyFont="1" applyFill="1" applyBorder="1" applyProtection="1">
      <protection locked="0"/>
    </xf>
    <xf numFmtId="167" fontId="11" fillId="2" borderId="3" xfId="7" applyNumberFormat="1" applyFont="1" applyFill="1" applyBorder="1" applyAlignment="1" applyProtection="1">
      <alignment horizontal="right"/>
      <protection locked="0"/>
    </xf>
    <xf numFmtId="0" fontId="12" fillId="2" borderId="0" xfId="0" applyFont="1" applyFill="1" applyAlignment="1">
      <alignment wrapText="1"/>
    </xf>
    <xf numFmtId="0" fontId="12" fillId="2" borderId="0" xfId="0" applyFont="1" applyFill="1"/>
    <xf numFmtId="0" fontId="11" fillId="2" borderId="11" xfId="0" applyFont="1" applyFill="1" applyBorder="1"/>
    <xf numFmtId="0" fontId="0" fillId="2" borderId="11" xfId="0" applyFill="1" applyBorder="1"/>
    <xf numFmtId="0" fontId="0" fillId="2" borderId="12" xfId="0" applyFill="1" applyBorder="1"/>
    <xf numFmtId="0" fontId="0" fillId="2" borderId="1" xfId="0" applyFill="1" applyBorder="1"/>
    <xf numFmtId="0" fontId="0" fillId="2" borderId="8" xfId="0" applyFill="1" applyBorder="1"/>
    <xf numFmtId="0" fontId="0" fillId="2" borderId="9" xfId="0" applyFill="1" applyBorder="1"/>
    <xf numFmtId="0" fontId="0" fillId="2" borderId="0" xfId="0" applyFill="1" applyAlignment="1">
      <alignment horizontal="left" indent="1"/>
    </xf>
    <xf numFmtId="0" fontId="0" fillId="2" borderId="0" xfId="0" applyFill="1" applyAlignment="1">
      <alignment horizontal="left" indent="2"/>
    </xf>
    <xf numFmtId="0" fontId="12" fillId="2" borderId="0" xfId="0" applyFont="1" applyFill="1" applyAlignment="1">
      <alignment horizontal="left" indent="4"/>
    </xf>
    <xf numFmtId="0" fontId="0" fillId="2" borderId="0" xfId="0" applyFill="1" applyAlignment="1">
      <alignment horizontal="left" wrapText="1" indent="4"/>
    </xf>
    <xf numFmtId="0" fontId="0" fillId="2" borderId="0" xfId="0" applyFill="1" applyAlignment="1">
      <alignment horizontal="left" indent="4"/>
    </xf>
    <xf numFmtId="0" fontId="0" fillId="2" borderId="0" xfId="0" applyFill="1" applyAlignment="1">
      <alignment horizontal="right"/>
    </xf>
    <xf numFmtId="169" fontId="0" fillId="2" borderId="0" xfId="0" applyNumberFormat="1" applyFill="1" applyAlignment="1">
      <alignment horizontal="center"/>
    </xf>
    <xf numFmtId="10" fontId="0" fillId="2" borderId="0" xfId="0" applyNumberFormat="1" applyFill="1"/>
    <xf numFmtId="164" fontId="0" fillId="2" borderId="0" xfId="7" applyFont="1" applyFill="1"/>
    <xf numFmtId="164" fontId="0" fillId="2" borderId="0" xfId="0" applyNumberFormat="1" applyFill="1"/>
    <xf numFmtId="167" fontId="0" fillId="2" borderId="0" xfId="7" applyNumberFormat="1" applyFont="1" applyFill="1"/>
    <xf numFmtId="0" fontId="0" fillId="2" borderId="10" xfId="0" applyFill="1" applyBorder="1"/>
    <xf numFmtId="0" fontId="0" fillId="2" borderId="13" xfId="0" applyFill="1" applyBorder="1"/>
    <xf numFmtId="0" fontId="11" fillId="2" borderId="0" xfId="0" applyFont="1" applyFill="1" applyAlignment="1">
      <alignment horizontal="left"/>
    </xf>
    <xf numFmtId="0" fontId="11" fillId="2" borderId="7" xfId="0" applyFont="1" applyFill="1" applyBorder="1"/>
    <xf numFmtId="0" fontId="4" fillId="2" borderId="0" xfId="0" applyFont="1" applyFill="1"/>
    <xf numFmtId="14" fontId="4" fillId="2" borderId="0" xfId="0" applyNumberFormat="1" applyFont="1" applyFill="1" applyAlignment="1">
      <alignment horizontal="center"/>
    </xf>
    <xf numFmtId="0" fontId="11" fillId="2" borderId="5" xfId="0" applyFont="1" applyFill="1" applyBorder="1"/>
    <xf numFmtId="0" fontId="8" fillId="3" borderId="1" xfId="0" applyFont="1" applyFill="1" applyBorder="1" applyAlignment="1">
      <alignment horizontal="center"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11" fillId="2" borderId="3" xfId="0" applyFont="1" applyFill="1" applyBorder="1" applyAlignment="1">
      <alignment horizontal="center"/>
    </xf>
    <xf numFmtId="168" fontId="11" fillId="3" borderId="3" xfId="7" applyNumberFormat="1" applyFont="1" applyFill="1" applyBorder="1" applyAlignment="1" applyProtection="1">
      <alignment horizontal="right"/>
    </xf>
    <xf numFmtId="0" fontId="11" fillId="2" borderId="3" xfId="0" applyFont="1" applyFill="1" applyBorder="1" applyAlignment="1">
      <alignment wrapText="1"/>
    </xf>
    <xf numFmtId="0" fontId="11" fillId="2" borderId="3" xfId="0" applyFont="1" applyFill="1" applyBorder="1"/>
    <xf numFmtId="0" fontId="8" fillId="2" borderId="5" xfId="0" applyFont="1" applyFill="1" applyBorder="1"/>
    <xf numFmtId="0" fontId="12" fillId="2" borderId="5" xfId="0" applyFont="1" applyFill="1" applyBorder="1" applyAlignment="1">
      <alignment horizontal="center"/>
    </xf>
    <xf numFmtId="167" fontId="11" fillId="2" borderId="1" xfId="7" applyNumberFormat="1" applyFont="1" applyFill="1" applyBorder="1" applyProtection="1"/>
    <xf numFmtId="0" fontId="11" fillId="2" borderId="2" xfId="0" applyFont="1" applyFill="1" applyBorder="1"/>
    <xf numFmtId="0" fontId="11" fillId="2" borderId="1" xfId="0" applyFont="1" applyFill="1" applyBorder="1"/>
    <xf numFmtId="0" fontId="4" fillId="0" borderId="5" xfId="0" applyFont="1" applyBorder="1" applyAlignment="1" applyProtection="1">
      <alignment horizontal="left" vertical="center"/>
      <protection locked="0"/>
    </xf>
    <xf numFmtId="0" fontId="11" fillId="2" borderId="0" xfId="0" applyFont="1" applyFill="1" applyProtection="1">
      <protection locked="0"/>
    </xf>
    <xf numFmtId="0" fontId="11" fillId="2" borderId="12" xfId="0" applyFont="1" applyFill="1" applyBorder="1" applyProtection="1">
      <protection locked="0"/>
    </xf>
    <xf numFmtId="0" fontId="0" fillId="2" borderId="0" xfId="0" applyFill="1" applyAlignment="1">
      <alignment vertical="center" wrapText="1"/>
    </xf>
    <xf numFmtId="0" fontId="0" fillId="2" borderId="5" xfId="0" applyFill="1" applyBorder="1"/>
    <xf numFmtId="0" fontId="8" fillId="2" borderId="11" xfId="0" applyFont="1" applyFill="1" applyBorder="1" applyAlignment="1">
      <alignment horizontal="center"/>
    </xf>
    <xf numFmtId="0" fontId="8" fillId="2" borderId="0" xfId="0" applyFont="1" applyFill="1"/>
    <xf numFmtId="0" fontId="8" fillId="2" borderId="0" xfId="0" applyFont="1" applyFill="1" applyAlignment="1">
      <alignment horizontal="left"/>
    </xf>
    <xf numFmtId="0" fontId="8" fillId="2" borderId="0" xfId="0" applyFont="1" applyFill="1" applyAlignment="1">
      <alignment horizontal="center"/>
    </xf>
    <xf numFmtId="0" fontId="11" fillId="2" borderId="8" xfId="0" applyFont="1" applyFill="1" applyBorder="1"/>
    <xf numFmtId="0" fontId="11" fillId="2" borderId="7" xfId="0" applyFont="1" applyFill="1" applyBorder="1" applyAlignment="1">
      <alignment horizontal="left"/>
    </xf>
    <xf numFmtId="167" fontId="11" fillId="2" borderId="0" xfId="7" applyNumberFormat="1" applyFont="1" applyFill="1" applyBorder="1" applyProtection="1"/>
    <xf numFmtId="168" fontId="11" fillId="2" borderId="0" xfId="0" applyNumberFormat="1" applyFont="1" applyFill="1"/>
    <xf numFmtId="0" fontId="8" fillId="2" borderId="12" xfId="0" applyFont="1" applyFill="1" applyBorder="1" applyAlignment="1">
      <alignment horizontal="center"/>
    </xf>
    <xf numFmtId="0" fontId="11" fillId="2" borderId="7" xfId="0" applyFont="1" applyFill="1" applyBorder="1" applyAlignment="1">
      <alignment horizontal="center"/>
    </xf>
    <xf numFmtId="0" fontId="11" fillId="2" borderId="0" xfId="0" applyFont="1" applyFill="1" applyAlignment="1">
      <alignment vertical="center"/>
    </xf>
    <xf numFmtId="0" fontId="11" fillId="2" borderId="9" xfId="0" applyFont="1" applyFill="1" applyBorder="1" applyProtection="1">
      <protection locked="0"/>
    </xf>
    <xf numFmtId="167" fontId="0" fillId="2" borderId="3" xfId="7" applyNumberFormat="1" applyFont="1" applyFill="1" applyBorder="1"/>
    <xf numFmtId="167" fontId="0" fillId="2" borderId="3" xfId="7" applyNumberFormat="1" applyFont="1" applyFill="1" applyBorder="1" applyProtection="1">
      <protection locked="0"/>
    </xf>
    <xf numFmtId="0" fontId="12" fillId="2" borderId="0" xfId="0" applyFont="1" applyFill="1" applyAlignment="1">
      <alignment horizontal="right"/>
    </xf>
    <xf numFmtId="167" fontId="0" fillId="5" borderId="3" xfId="7" applyNumberFormat="1" applyFont="1" applyFill="1" applyBorder="1"/>
    <xf numFmtId="0" fontId="13" fillId="2" borderId="7" xfId="8" applyFill="1" applyBorder="1" applyProtection="1">
      <protection locked="0"/>
    </xf>
    <xf numFmtId="0" fontId="11" fillId="2" borderId="0" xfId="0" applyFont="1" applyFill="1" applyAlignment="1">
      <alignment horizontal="center"/>
    </xf>
    <xf numFmtId="168" fontId="11" fillId="2" borderId="0" xfId="7" applyNumberFormat="1" applyFont="1" applyFill="1" applyBorder="1" applyAlignment="1" applyProtection="1">
      <alignment horizontal="center"/>
    </xf>
    <xf numFmtId="0" fontId="8" fillId="2" borderId="5" xfId="0" applyFont="1" applyFill="1" applyBorder="1" applyAlignment="1">
      <alignment horizontal="center"/>
    </xf>
    <xf numFmtId="0" fontId="8" fillId="2" borderId="2" xfId="0" applyFont="1" applyFill="1" applyBorder="1" applyAlignment="1">
      <alignment horizontal="center"/>
    </xf>
    <xf numFmtId="0" fontId="0" fillId="0" borderId="0" xfId="0" applyAlignment="1">
      <alignment horizontal="left" vertical="center" wrapText="1"/>
    </xf>
    <xf numFmtId="0" fontId="6" fillId="2" borderId="0" xfId="0" applyFont="1" applyFill="1"/>
    <xf numFmtId="0" fontId="5" fillId="2" borderId="0" xfId="0" applyFont="1" applyFill="1"/>
    <xf numFmtId="0" fontId="0" fillId="2" borderId="0" xfId="0" applyFill="1" applyAlignment="1">
      <alignment horizontal="left" vertical="center" wrapText="1"/>
    </xf>
    <xf numFmtId="0" fontId="0" fillId="2" borderId="0" xfId="0" quotePrefix="1" applyFill="1" applyAlignment="1">
      <alignment vertical="top" wrapText="1"/>
    </xf>
    <xf numFmtId="0" fontId="0" fillId="2" borderId="0" xfId="0" applyFill="1" applyAlignment="1">
      <alignment vertical="top"/>
    </xf>
    <xf numFmtId="0" fontId="0" fillId="2" borderId="0" xfId="0" quotePrefix="1" applyFill="1" applyAlignment="1">
      <alignment horizontal="left" vertical="center"/>
    </xf>
    <xf numFmtId="0" fontId="0" fillId="2" borderId="1" xfId="0" applyFill="1" applyBorder="1" applyAlignment="1">
      <alignment horizontal="left" vertical="center"/>
    </xf>
    <xf numFmtId="0" fontId="0" fillId="2" borderId="6" xfId="0" applyFill="1" applyBorder="1" applyAlignment="1">
      <alignment vertical="top"/>
    </xf>
    <xf numFmtId="0" fontId="0" fillId="2" borderId="7" xfId="0" applyFill="1" applyBorder="1" applyAlignment="1">
      <alignment vertical="top"/>
    </xf>
    <xf numFmtId="0" fontId="0" fillId="2" borderId="6" xfId="0" quotePrefix="1" applyFill="1" applyBorder="1" applyAlignment="1">
      <alignment vertical="top"/>
    </xf>
    <xf numFmtId="0" fontId="0" fillId="2" borderId="10" xfId="0" applyFill="1" applyBorder="1" applyAlignment="1">
      <alignment vertical="center"/>
    </xf>
    <xf numFmtId="0" fontId="0" fillId="2" borderId="6" xfId="0" quotePrefix="1" applyFill="1" applyBorder="1" applyAlignment="1">
      <alignment horizontal="left" vertical="center"/>
    </xf>
    <xf numFmtId="0" fontId="0" fillId="2" borderId="5" xfId="0" applyFill="1" applyBorder="1" applyAlignment="1">
      <alignment horizontal="left" vertical="center"/>
    </xf>
    <xf numFmtId="0" fontId="0" fillId="2" borderId="3" xfId="0" applyFill="1" applyBorder="1" applyAlignment="1">
      <alignment horizontal="left" vertical="center" wrapText="1"/>
    </xf>
    <xf numFmtId="0" fontId="0" fillId="2" borderId="14" xfId="0" applyFill="1" applyBorder="1" applyAlignment="1">
      <alignment wrapText="1"/>
    </xf>
    <xf numFmtId="0" fontId="0" fillId="2" borderId="15" xfId="0" applyFill="1" applyBorder="1" applyAlignment="1">
      <alignment horizontal="left" wrapText="1"/>
    </xf>
    <xf numFmtId="0" fontId="0" fillId="2" borderId="15" xfId="0" applyFill="1" applyBorder="1" applyAlignment="1">
      <alignment vertical="center" wrapText="1"/>
    </xf>
    <xf numFmtId="0" fontId="0" fillId="2" borderId="16" xfId="0" applyFill="1" applyBorder="1" applyAlignment="1">
      <alignment wrapText="1"/>
    </xf>
    <xf numFmtId="0" fontId="0" fillId="2" borderId="15" xfId="0" applyFill="1" applyBorder="1" applyAlignment="1">
      <alignment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0" fillId="2" borderId="16" xfId="0" applyFill="1" applyBorder="1" applyAlignment="1">
      <alignment horizontal="left" vertical="center" wrapText="1"/>
    </xf>
    <xf numFmtId="0" fontId="12" fillId="2" borderId="1" xfId="0" applyFont="1" applyFill="1" applyBorder="1"/>
    <xf numFmtId="0" fontId="12" fillId="2" borderId="3" xfId="0" applyFont="1" applyFill="1" applyBorder="1" applyAlignment="1">
      <alignment horizontal="center"/>
    </xf>
    <xf numFmtId="0" fontId="12" fillId="2" borderId="3" xfId="0" applyFont="1" applyFill="1" applyBorder="1" applyAlignment="1">
      <alignment horizontal="center" vertical="center" wrapText="1"/>
    </xf>
    <xf numFmtId="170" fontId="0" fillId="2" borderId="0" xfId="0" applyNumberFormat="1" applyFill="1"/>
    <xf numFmtId="0" fontId="11" fillId="2" borderId="11" xfId="0" applyFont="1" applyFill="1" applyBorder="1" applyAlignment="1">
      <alignment horizontal="center" wrapText="1"/>
    </xf>
    <xf numFmtId="0" fontId="0" fillId="0" borderId="3" xfId="0" applyBorder="1" applyAlignment="1">
      <alignment wrapText="1"/>
    </xf>
    <xf numFmtId="0" fontId="0" fillId="2" borderId="11" xfId="0" applyFill="1" applyBorder="1" applyAlignment="1">
      <alignment wrapText="1"/>
    </xf>
    <xf numFmtId="0" fontId="4" fillId="2" borderId="5" xfId="0" applyFont="1" applyFill="1" applyBorder="1" applyAlignment="1">
      <alignment horizontal="center"/>
    </xf>
    <xf numFmtId="0" fontId="8" fillId="3" borderId="16" xfId="0" applyFont="1" applyFill="1" applyBorder="1" applyAlignment="1">
      <alignment horizontal="center" vertical="center" wrapText="1"/>
    </xf>
    <xf numFmtId="0" fontId="4" fillId="2" borderId="1" xfId="0" applyFont="1" applyFill="1" applyBorder="1" applyAlignment="1">
      <alignment horizontal="center"/>
    </xf>
    <xf numFmtId="168" fontId="11" fillId="0" borderId="3" xfId="7" applyNumberFormat="1" applyFont="1" applyFill="1" applyBorder="1" applyAlignment="1" applyProtection="1">
      <alignment horizontal="right"/>
    </xf>
    <xf numFmtId="0" fontId="12" fillId="2" borderId="1" xfId="0" applyFont="1" applyFill="1" applyBorder="1" applyAlignment="1">
      <alignment horizontal="right"/>
    </xf>
    <xf numFmtId="0" fontId="0" fillId="2" borderId="17" xfId="0" applyFill="1" applyBorder="1"/>
    <xf numFmtId="0" fontId="0" fillId="2" borderId="4" xfId="0" applyFill="1" applyBorder="1"/>
    <xf numFmtId="0" fontId="0" fillId="2" borderId="18" xfId="0" applyFill="1" applyBorder="1"/>
    <xf numFmtId="0" fontId="0" fillId="2" borderId="19" xfId="0" applyFill="1" applyBorder="1"/>
    <xf numFmtId="0" fontId="0" fillId="2" borderId="20" xfId="0" applyFill="1" applyBorder="1"/>
    <xf numFmtId="0" fontId="5" fillId="2" borderId="19" xfId="0" applyFont="1" applyFill="1" applyBorder="1"/>
    <xf numFmtId="0" fontId="0" fillId="2" borderId="21" xfId="0" applyFill="1" applyBorder="1"/>
    <xf numFmtId="0" fontId="8" fillId="3" borderId="22"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11" fillId="2" borderId="24" xfId="0" applyFont="1" applyFill="1" applyBorder="1" applyAlignment="1">
      <alignment horizontal="center" vertical="center"/>
    </xf>
    <xf numFmtId="0" fontId="0" fillId="2" borderId="25" xfId="0" applyFill="1" applyBorder="1"/>
    <xf numFmtId="0" fontId="11" fillId="2" borderId="19" xfId="0" applyFont="1" applyFill="1" applyBorder="1" applyAlignment="1">
      <alignment horizontal="left" vertical="center"/>
    </xf>
    <xf numFmtId="0" fontId="11" fillId="2" borderId="19" xfId="0" applyFont="1" applyFill="1" applyBorder="1"/>
    <xf numFmtId="0" fontId="8" fillId="2" borderId="19" xfId="0" applyFont="1" applyFill="1" applyBorder="1"/>
    <xf numFmtId="0" fontId="8" fillId="2" borderId="22" xfId="0" applyFont="1" applyFill="1" applyBorder="1" applyAlignment="1">
      <alignment horizontal="left"/>
    </xf>
    <xf numFmtId="0" fontId="8" fillId="2" borderId="19" xfId="0" applyFont="1" applyFill="1" applyBorder="1" applyAlignment="1">
      <alignment horizontal="left"/>
    </xf>
    <xf numFmtId="0" fontId="11" fillId="2" borderId="19" xfId="0" applyFont="1" applyFill="1" applyBorder="1" applyAlignment="1">
      <alignment horizontal="left"/>
    </xf>
    <xf numFmtId="0" fontId="11" fillId="2" borderId="19" xfId="0" applyFont="1" applyFill="1" applyBorder="1" applyAlignment="1" applyProtection="1">
      <alignment horizontal="left"/>
      <protection locked="0"/>
    </xf>
    <xf numFmtId="0" fontId="11" fillId="2" borderId="26" xfId="0" applyFont="1" applyFill="1" applyBorder="1" applyAlignment="1" applyProtection="1">
      <alignment horizontal="left"/>
      <protection locked="0"/>
    </xf>
    <xf numFmtId="0" fontId="0" fillId="2" borderId="27" xfId="0" applyFill="1" applyBorder="1"/>
    <xf numFmtId="0" fontId="11" fillId="2" borderId="28" xfId="0" applyFont="1" applyFill="1" applyBorder="1"/>
    <xf numFmtId="0" fontId="11" fillId="2" borderId="29" xfId="0" applyFont="1" applyFill="1" applyBorder="1"/>
    <xf numFmtId="0" fontId="14" fillId="2" borderId="30" xfId="0" applyFont="1" applyFill="1" applyBorder="1" applyAlignment="1">
      <alignment horizontal="right"/>
    </xf>
    <xf numFmtId="0" fontId="8" fillId="2" borderId="0" xfId="0" applyFont="1" applyFill="1" applyAlignment="1">
      <alignment horizontal="centerContinuous"/>
    </xf>
    <xf numFmtId="0" fontId="0" fillId="2" borderId="20" xfId="0" applyFill="1" applyBorder="1" applyAlignment="1">
      <alignment horizontal="left"/>
    </xf>
    <xf numFmtId="168" fontId="11" fillId="2" borderId="0" xfId="7" applyNumberFormat="1" applyFont="1" applyFill="1" applyBorder="1" applyAlignment="1" applyProtection="1"/>
    <xf numFmtId="0" fontId="11" fillId="2" borderId="3" xfId="0" applyFont="1" applyFill="1" applyBorder="1" applyAlignment="1" applyProtection="1">
      <alignment horizontal="center" vertical="center"/>
      <protection locked="0"/>
    </xf>
    <xf numFmtId="0" fontId="4" fillId="2" borderId="1" xfId="0" applyFont="1" applyFill="1" applyBorder="1" applyAlignment="1">
      <alignment horizontal="centerContinuous"/>
    </xf>
    <xf numFmtId="0" fontId="4" fillId="2" borderId="5" xfId="0" applyFont="1" applyFill="1" applyBorder="1" applyAlignment="1">
      <alignment horizontal="centerContinuous"/>
    </xf>
    <xf numFmtId="0" fontId="11" fillId="2" borderId="2" xfId="0" applyFont="1" applyFill="1" applyBorder="1" applyAlignment="1" applyProtection="1">
      <alignment horizontal="center" vertical="center" wrapText="1"/>
      <protection locked="0"/>
    </xf>
    <xf numFmtId="0" fontId="11" fillId="2" borderId="3" xfId="0" applyFont="1" applyFill="1" applyBorder="1" applyAlignment="1" applyProtection="1">
      <alignment horizontal="center" vertical="center" wrapText="1"/>
      <protection locked="0"/>
    </xf>
    <xf numFmtId="0" fontId="12" fillId="0" borderId="0" xfId="0" applyFont="1"/>
    <xf numFmtId="0" fontId="12" fillId="0" borderId="3" xfId="0" applyFont="1" applyBorder="1"/>
    <xf numFmtId="0" fontId="0" fillId="6" borderId="3" xfId="0" applyFill="1" applyBorder="1"/>
    <xf numFmtId="14" fontId="0" fillId="2" borderId="3" xfId="0" applyNumberFormat="1" applyFill="1" applyBorder="1" applyAlignment="1">
      <alignment horizontal="center" vertical="center"/>
    </xf>
    <xf numFmtId="0" fontId="0" fillId="2" borderId="3" xfId="0" applyFill="1" applyBorder="1" applyAlignment="1">
      <alignment wrapText="1"/>
    </xf>
    <xf numFmtId="0" fontId="11" fillId="2" borderId="2" xfId="0" applyFont="1" applyFill="1" applyBorder="1" applyAlignment="1" applyProtection="1">
      <alignment horizontal="center" vertical="center"/>
      <protection locked="0"/>
    </xf>
    <xf numFmtId="0" fontId="11" fillId="2" borderId="3" xfId="0" quotePrefix="1" applyFont="1" applyFill="1" applyBorder="1" applyAlignment="1" applyProtection="1">
      <alignment horizontal="center" vertical="center"/>
      <protection locked="0"/>
    </xf>
    <xf numFmtId="167" fontId="11" fillId="2" borderId="3" xfId="7" applyNumberFormat="1" applyFont="1" applyFill="1" applyBorder="1" applyAlignment="1" applyProtection="1">
      <alignment horizontal="center" vertical="center"/>
      <protection locked="0"/>
    </xf>
    <xf numFmtId="168" fontId="11" fillId="3" borderId="3" xfId="7" applyNumberFormat="1" applyFont="1" applyFill="1" applyBorder="1" applyAlignment="1" applyProtection="1">
      <alignment horizontal="center" vertical="center"/>
    </xf>
    <xf numFmtId="167" fontId="0" fillId="2" borderId="0" xfId="0" applyNumberFormat="1" applyFill="1"/>
    <xf numFmtId="0" fontId="8" fillId="3" borderId="9" xfId="0" applyFont="1" applyFill="1" applyBorder="1" applyAlignment="1">
      <alignment horizontal="center" vertical="center" wrapText="1"/>
    </xf>
    <xf numFmtId="167" fontId="11" fillId="2" borderId="3" xfId="7" applyNumberFormat="1" applyFont="1" applyFill="1" applyBorder="1" applyAlignment="1" applyProtection="1">
      <alignment horizontal="center" vertical="center" wrapText="1"/>
      <protection locked="0"/>
    </xf>
    <xf numFmtId="164" fontId="11" fillId="2" borderId="3" xfId="7" applyFont="1" applyFill="1" applyBorder="1" applyAlignment="1" applyProtection="1">
      <alignment horizontal="center" vertical="center"/>
    </xf>
    <xf numFmtId="3" fontId="11" fillId="0" borderId="3" xfId="7" applyNumberFormat="1" applyFont="1" applyFill="1" applyBorder="1" applyAlignment="1" applyProtection="1">
      <alignment horizontal="center" vertical="center"/>
    </xf>
    <xf numFmtId="168" fontId="11" fillId="2" borderId="5" xfId="0" applyNumberFormat="1" applyFont="1" applyFill="1" applyBorder="1" applyAlignment="1">
      <alignment vertical="center"/>
    </xf>
    <xf numFmtId="0" fontId="4" fillId="2" borderId="2" xfId="0" applyFont="1" applyFill="1" applyBorder="1"/>
    <xf numFmtId="0" fontId="15" fillId="2" borderId="3" xfId="0" applyFont="1" applyFill="1" applyBorder="1" applyAlignment="1">
      <alignment horizontal="left" vertical="center" wrapText="1"/>
    </xf>
    <xf numFmtId="0" fontId="15" fillId="2" borderId="5" xfId="0" quotePrefix="1" applyFont="1" applyFill="1" applyBorder="1" applyAlignment="1">
      <alignment vertical="top" wrapText="1"/>
    </xf>
    <xf numFmtId="0" fontId="16" fillId="2" borderId="0" xfId="0" applyFont="1" applyFill="1"/>
    <xf numFmtId="0" fontId="4" fillId="2" borderId="0" xfId="0" applyFont="1" applyFill="1" applyAlignment="1" applyProtection="1">
      <alignment horizontal="left" indent="1"/>
      <protection locked="0"/>
    </xf>
    <xf numFmtId="0" fontId="4" fillId="2" borderId="5" xfId="0" applyFont="1" applyFill="1" applyBorder="1" applyAlignment="1" applyProtection="1">
      <alignment horizontal="left" indent="1"/>
      <protection locked="0"/>
    </xf>
    <xf numFmtId="0" fontId="4" fillId="2" borderId="7" xfId="0" applyFont="1" applyFill="1" applyBorder="1" applyAlignment="1" applyProtection="1">
      <alignment horizontal="left" indent="1"/>
      <protection locked="0"/>
    </xf>
    <xf numFmtId="49" fontId="4" fillId="2" borderId="7" xfId="0" applyNumberFormat="1" applyFont="1" applyFill="1" applyBorder="1" applyAlignment="1" applyProtection="1">
      <alignment horizontal="left" indent="1"/>
      <protection locked="0"/>
    </xf>
    <xf numFmtId="14" fontId="11" fillId="2" borderId="7" xfId="0" applyNumberFormat="1" applyFont="1" applyFill="1" applyBorder="1" applyProtection="1">
      <protection locked="0"/>
    </xf>
    <xf numFmtId="14" fontId="4" fillId="2" borderId="7" xfId="0" applyNumberFormat="1" applyFont="1" applyFill="1" applyBorder="1" applyAlignment="1" applyProtection="1">
      <alignment horizontal="left" indent="1"/>
      <protection locked="0"/>
    </xf>
    <xf numFmtId="0" fontId="10" fillId="2" borderId="1" xfId="0" applyFont="1" applyFill="1" applyBorder="1" applyAlignment="1">
      <alignment horizontal="center"/>
    </xf>
    <xf numFmtId="0" fontId="10" fillId="2" borderId="5" xfId="0" applyFont="1" applyFill="1" applyBorder="1" applyAlignment="1">
      <alignment horizontal="center"/>
    </xf>
    <xf numFmtId="0" fontId="10" fillId="2" borderId="2" xfId="0" applyFont="1" applyFill="1" applyBorder="1" applyAlignment="1">
      <alignment horizontal="center"/>
    </xf>
    <xf numFmtId="0" fontId="8" fillId="2" borderId="1" xfId="0" applyFont="1" applyFill="1" applyBorder="1" applyAlignment="1">
      <alignment horizontal="center"/>
    </xf>
    <xf numFmtId="0" fontId="8" fillId="2" borderId="2" xfId="0" applyFont="1" applyFill="1" applyBorder="1" applyAlignment="1">
      <alignment horizontal="center"/>
    </xf>
    <xf numFmtId="0" fontId="9" fillId="2" borderId="6" xfId="0" applyFont="1" applyFill="1" applyBorder="1" applyAlignment="1">
      <alignment horizontal="center"/>
    </xf>
    <xf numFmtId="0" fontId="11" fillId="2" borderId="0" xfId="0" applyFont="1" applyFill="1" applyAlignment="1">
      <alignment horizontal="center" wrapText="1"/>
    </xf>
    <xf numFmtId="0" fontId="8" fillId="2" borderId="3" xfId="0" applyFont="1" applyFill="1" applyBorder="1" applyAlignment="1">
      <alignment horizontal="center"/>
    </xf>
    <xf numFmtId="0" fontId="8" fillId="2" borderId="6" xfId="0" applyFont="1" applyFill="1" applyBorder="1" applyAlignment="1">
      <alignment horizontal="center"/>
    </xf>
    <xf numFmtId="0" fontId="8" fillId="2" borderId="0" xfId="0" applyFont="1" applyFill="1" applyAlignment="1">
      <alignment horizontal="center"/>
    </xf>
    <xf numFmtId="0" fontId="11" fillId="2" borderId="1" xfId="0" applyFont="1" applyFill="1" applyBorder="1" applyAlignment="1" applyProtection="1">
      <alignment vertical="center" wrapText="1"/>
      <protection locked="0"/>
    </xf>
    <xf numFmtId="0" fontId="11" fillId="2" borderId="2" xfId="0" applyFont="1" applyFill="1" applyBorder="1" applyAlignment="1" applyProtection="1">
      <alignment vertical="center" wrapText="1"/>
      <protection locked="0"/>
    </xf>
    <xf numFmtId="0" fontId="0" fillId="2" borderId="0" xfId="0" applyFill="1" applyAlignment="1">
      <alignment horizontal="left" wrapText="1"/>
    </xf>
    <xf numFmtId="0" fontId="0" fillId="0" borderId="3" xfId="0" applyBorder="1" applyAlignment="1">
      <alignment horizontal="center"/>
    </xf>
  </cellXfs>
  <cellStyles count="9">
    <cellStyle name="Excel Built-in Normal" xfId="3" xr:uid="{00000000-0005-0000-0000-000000000000}"/>
    <cellStyle name="Lien hypertexte" xfId="8" builtinId="8"/>
    <cellStyle name="Milliers" xfId="7" builtinId="3"/>
    <cellStyle name="Milliers [0] 2" xfId="4" xr:uid="{00000000-0005-0000-0000-000003000000}"/>
    <cellStyle name="Normal" xfId="0" builtinId="0"/>
    <cellStyle name="Normal 2" xfId="2" xr:uid="{00000000-0005-0000-0000-000005000000}"/>
    <cellStyle name="Normal 2 2" xfId="5" xr:uid="{00000000-0005-0000-0000-000006000000}"/>
    <cellStyle name="Normal 3" xfId="6" xr:uid="{00000000-0005-0000-0000-000007000000}"/>
    <cellStyle name="Normal 4" xfId="1"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63509</xdr:colOff>
      <xdr:row>1</xdr:row>
      <xdr:rowOff>47638</xdr:rowOff>
    </xdr:from>
    <xdr:to>
      <xdr:col>3</xdr:col>
      <xdr:colOff>45706</xdr:colOff>
      <xdr:row>8</xdr:row>
      <xdr:rowOff>234963</xdr:rowOff>
    </xdr:to>
    <xdr:pic>
      <xdr:nvPicPr>
        <xdr:cNvPr id="2" name="Imag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9" y="238138"/>
          <a:ext cx="1778794" cy="2028825"/>
        </a:xfrm>
        <a:prstGeom prst="rect">
          <a:avLst/>
        </a:prstGeom>
      </xdr:spPr>
    </xdr:pic>
    <xdr:clientData/>
  </xdr:twoCellAnchor>
  <xdr:twoCellAnchor editAs="oneCell">
    <xdr:from>
      <xdr:col>12</xdr:col>
      <xdr:colOff>650877</xdr:colOff>
      <xdr:row>2</xdr:row>
      <xdr:rowOff>31749</xdr:rowOff>
    </xdr:from>
    <xdr:to>
      <xdr:col>13</xdr:col>
      <xdr:colOff>879733</xdr:colOff>
      <xdr:row>8</xdr:row>
      <xdr:rowOff>749</xdr:rowOff>
    </xdr:to>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78127" y="412749"/>
          <a:ext cx="2356106" cy="162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B2:C21"/>
  <sheetViews>
    <sheetView topLeftCell="A10" workbookViewId="0">
      <selection activeCell="B2" sqref="B2"/>
    </sheetView>
  </sheetViews>
  <sheetFormatPr baseColWidth="10" defaultRowHeight="15"/>
  <cols>
    <col min="1" max="1" width="11.42578125" style="1"/>
    <col min="2" max="2" width="5.140625" style="1" customWidth="1"/>
    <col min="3" max="3" width="125" style="3" customWidth="1"/>
    <col min="4" max="16384" width="11.42578125" style="1"/>
  </cols>
  <sheetData>
    <row r="2" spans="2:3">
      <c r="B2" s="165" t="s">
        <v>41</v>
      </c>
      <c r="C2" s="17"/>
    </row>
    <row r="3" spans="2:3">
      <c r="C3" s="17"/>
    </row>
    <row r="4" spans="2:3">
      <c r="B4" s="18" t="s">
        <v>48</v>
      </c>
    </row>
    <row r="5" spans="2:3">
      <c r="B5" s="25" t="s">
        <v>43</v>
      </c>
    </row>
    <row r="7" spans="2:3">
      <c r="B7" s="26" t="s">
        <v>44</v>
      </c>
    </row>
    <row r="8" spans="2:3" ht="14.25" customHeight="1">
      <c r="C8" s="3" t="s">
        <v>42</v>
      </c>
    </row>
    <row r="9" spans="2:3" ht="17.25" customHeight="1">
      <c r="C9" s="3" t="s">
        <v>156</v>
      </c>
    </row>
    <row r="10" spans="2:3">
      <c r="B10" s="26" t="s">
        <v>45</v>
      </c>
    </row>
    <row r="11" spans="2:3" ht="67.5" customHeight="1">
      <c r="C11" s="58" t="s">
        <v>155</v>
      </c>
    </row>
    <row r="12" spans="2:3" ht="21" customHeight="1">
      <c r="B12" s="27" t="s">
        <v>37</v>
      </c>
      <c r="C12" s="28"/>
    </row>
    <row r="13" spans="2:3">
      <c r="B13" s="29"/>
      <c r="C13" s="28" t="s">
        <v>38</v>
      </c>
    </row>
    <row r="14" spans="2:3" ht="30">
      <c r="B14" s="29"/>
      <c r="C14" s="28" t="s">
        <v>46</v>
      </c>
    </row>
    <row r="15" spans="2:3" ht="12.75" customHeight="1"/>
    <row r="16" spans="2:3">
      <c r="B16" s="26" t="s">
        <v>47</v>
      </c>
    </row>
    <row r="17" spans="2:3" ht="22.5" customHeight="1">
      <c r="B17" s="26" t="s">
        <v>40</v>
      </c>
    </row>
    <row r="19" spans="2:3">
      <c r="B19" s="18" t="s">
        <v>49</v>
      </c>
    </row>
    <row r="20" spans="2:3" ht="33.75" customHeight="1">
      <c r="C20" s="3" t="s">
        <v>50</v>
      </c>
    </row>
    <row r="21" spans="2:3">
      <c r="C21" s="3" t="s">
        <v>51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FA93-193D-4592-A641-3C07244DA608}">
  <sheetPr codeName="Feuil5"/>
  <dimension ref="B3:E25"/>
  <sheetViews>
    <sheetView workbookViewId="0">
      <selection activeCell="E11" sqref="E11"/>
    </sheetView>
  </sheetViews>
  <sheetFormatPr baseColWidth="10" defaultRowHeight="15"/>
  <cols>
    <col min="3" max="3" width="48.42578125" customWidth="1"/>
    <col min="5" max="5" width="34.85546875" bestFit="1" customWidth="1"/>
  </cols>
  <sheetData>
    <row r="3" spans="2:5">
      <c r="B3" s="147" t="s">
        <v>143</v>
      </c>
      <c r="E3" s="148" t="s">
        <v>139</v>
      </c>
    </row>
    <row r="4" spans="2:5" ht="30">
      <c r="B4" s="150">
        <v>44617</v>
      </c>
      <c r="C4" s="151" t="s">
        <v>138</v>
      </c>
      <c r="E4" s="149" t="s">
        <v>140</v>
      </c>
    </row>
    <row r="5" spans="2:5">
      <c r="E5" s="149" t="s">
        <v>147</v>
      </c>
    </row>
    <row r="6" spans="2:5">
      <c r="E6" s="149" t="s">
        <v>148</v>
      </c>
    </row>
    <row r="7" spans="2:5">
      <c r="E7" s="149" t="s">
        <v>149</v>
      </c>
    </row>
    <row r="8" spans="2:5">
      <c r="E8" s="149" t="s">
        <v>150</v>
      </c>
    </row>
    <row r="9" spans="2:5">
      <c r="E9" s="149" t="s">
        <v>167</v>
      </c>
    </row>
    <row r="10" spans="2:5">
      <c r="E10" s="149" t="s">
        <v>168</v>
      </c>
    </row>
    <row r="11" spans="2:5">
      <c r="E11" s="149" t="s">
        <v>141</v>
      </c>
    </row>
    <row r="12" spans="2:5">
      <c r="E12" s="149" t="s">
        <v>36</v>
      </c>
    </row>
    <row r="13" spans="2:5">
      <c r="E13" s="149" t="s">
        <v>113</v>
      </c>
    </row>
    <row r="14" spans="2:5">
      <c r="E14" s="149"/>
    </row>
    <row r="15" spans="2:5">
      <c r="E15" s="149"/>
    </row>
    <row r="16" spans="2:5">
      <c r="E16" s="149"/>
    </row>
    <row r="17" spans="5:5">
      <c r="E17" s="149"/>
    </row>
    <row r="18" spans="5:5">
      <c r="E18" s="149"/>
    </row>
    <row r="19" spans="5:5">
      <c r="E19" s="149"/>
    </row>
    <row r="20" spans="5:5">
      <c r="E20" s="149"/>
    </row>
    <row r="21" spans="5:5">
      <c r="E21" s="149"/>
    </row>
    <row r="22" spans="5:5">
      <c r="E22" s="149"/>
    </row>
    <row r="23" spans="5:5">
      <c r="E23" s="149"/>
    </row>
    <row r="24" spans="5:5">
      <c r="E24" s="149"/>
    </row>
    <row r="25" spans="5:5">
      <c r="E25" s="1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pageSetUpPr fitToPage="1"/>
  </sheetPr>
  <dimension ref="B1:Q64"/>
  <sheetViews>
    <sheetView showGridLines="0" tabSelected="1" view="pageBreakPreview" zoomScale="55" zoomScaleNormal="50" zoomScaleSheetLayoutView="55" workbookViewId="0">
      <selection activeCell="H8" sqref="H8"/>
    </sheetView>
  </sheetViews>
  <sheetFormatPr baseColWidth="10" defaultRowHeight="15"/>
  <cols>
    <col min="1" max="1" width="11.42578125" style="1"/>
    <col min="2" max="2" width="8.85546875" style="1" customWidth="1"/>
    <col min="3" max="3" width="17.85546875" style="1" customWidth="1"/>
    <col min="4" max="4" width="20" style="1" customWidth="1"/>
    <col min="5" max="5" width="35.7109375" style="1" customWidth="1"/>
    <col min="6" max="6" width="9.85546875" style="1" customWidth="1"/>
    <col min="7" max="7" width="22.5703125" style="1" customWidth="1"/>
    <col min="8" max="8" width="21.85546875" style="1" customWidth="1"/>
    <col min="9" max="9" width="20.5703125" style="1" customWidth="1"/>
    <col min="10" max="10" width="9" style="1" customWidth="1"/>
    <col min="11" max="11" width="41.42578125" style="1" customWidth="1"/>
    <col min="12" max="12" width="17.140625" style="1" customWidth="1"/>
    <col min="13" max="13" width="31.85546875" style="1" customWidth="1"/>
    <col min="14" max="14" width="14.85546875" style="1" customWidth="1"/>
    <col min="15" max="15" width="14.5703125" style="1" customWidth="1"/>
    <col min="16" max="16" width="11.42578125" style="1"/>
    <col min="17" max="17" width="24.7109375" style="1" bestFit="1" customWidth="1"/>
    <col min="18" max="16384" width="11.42578125" style="1"/>
  </cols>
  <sheetData>
    <row r="1" spans="2:17" ht="15.75" thickBot="1"/>
    <row r="2" spans="2:17">
      <c r="B2" s="116"/>
      <c r="C2" s="117"/>
      <c r="D2" s="117"/>
      <c r="E2" s="117"/>
      <c r="F2" s="117"/>
      <c r="G2" s="117"/>
      <c r="H2" s="117"/>
      <c r="I2" s="117"/>
      <c r="J2" s="117"/>
      <c r="K2" s="117"/>
      <c r="L2" s="117"/>
      <c r="M2" s="117"/>
      <c r="N2" s="118"/>
      <c r="O2" s="37"/>
    </row>
    <row r="3" spans="2:17" ht="30">
      <c r="B3" s="119"/>
      <c r="D3" s="82"/>
      <c r="E3" s="172" t="s">
        <v>137</v>
      </c>
      <c r="F3" s="173"/>
      <c r="G3" s="173"/>
      <c r="H3" s="173"/>
      <c r="I3" s="173"/>
      <c r="J3" s="173"/>
      <c r="K3" s="173"/>
      <c r="L3" s="174"/>
      <c r="N3" s="120"/>
      <c r="O3" s="21"/>
      <c r="Q3" s="107"/>
    </row>
    <row r="4" spans="2:17" ht="20.25" customHeight="1">
      <c r="B4" s="121"/>
      <c r="C4" s="83"/>
      <c r="D4" s="83"/>
      <c r="E4" s="177" t="str">
        <f>CONCATENATE("Référence : NA-",F8,"-",F9,"-",YEAR(F5),"-","S",(_xlfn.ISOWEEKNUM(F5)))</f>
        <v>Référence : NA-JAQ-CEL - PED : Pôle Education-2026-S10</v>
      </c>
      <c r="F4" s="177"/>
      <c r="G4" s="177"/>
      <c r="H4" s="177"/>
      <c r="I4" s="177"/>
      <c r="J4" s="177"/>
      <c r="K4" s="177"/>
      <c r="L4" s="177"/>
      <c r="N4" s="120"/>
      <c r="O4" s="21"/>
      <c r="Q4" s="107"/>
    </row>
    <row r="5" spans="2:17" ht="20.25" customHeight="1">
      <c r="B5" s="119"/>
      <c r="C5" s="40"/>
      <c r="E5" s="61" t="s">
        <v>77</v>
      </c>
      <c r="F5" s="171">
        <v>46087</v>
      </c>
      <c r="G5" s="171"/>
      <c r="H5" s="9"/>
      <c r="I5" s="40"/>
      <c r="J5" s="41"/>
      <c r="K5" s="40"/>
      <c r="L5" s="40"/>
      <c r="M5" s="40"/>
      <c r="N5" s="120"/>
      <c r="O5" s="21"/>
      <c r="Q5" s="107"/>
    </row>
    <row r="6" spans="2:17" ht="20.25" customHeight="1">
      <c r="B6" s="119"/>
      <c r="C6" s="40"/>
      <c r="E6" s="61" t="s">
        <v>31</v>
      </c>
      <c r="F6" s="166" t="s">
        <v>171</v>
      </c>
      <c r="G6" s="166"/>
      <c r="H6" s="9"/>
      <c r="I6" s="9"/>
      <c r="J6" s="11"/>
      <c r="K6" s="40"/>
      <c r="L6" s="40"/>
      <c r="M6" s="40"/>
      <c r="N6" s="120"/>
      <c r="O6" s="21"/>
      <c r="Q6" s="107"/>
    </row>
    <row r="7" spans="2:17" ht="20.25" customHeight="1">
      <c r="B7" s="119"/>
      <c r="C7" s="40"/>
      <c r="E7" s="61" t="s">
        <v>30</v>
      </c>
      <c r="F7" s="167" t="s">
        <v>172</v>
      </c>
      <c r="G7" s="167"/>
      <c r="H7" s="8"/>
      <c r="I7" s="40" t="s">
        <v>74</v>
      </c>
      <c r="J7" s="10" t="s">
        <v>174</v>
      </c>
      <c r="K7" s="10"/>
      <c r="L7" s="40"/>
      <c r="M7" s="40"/>
      <c r="N7" s="120"/>
      <c r="O7" s="21"/>
      <c r="Q7" s="107"/>
    </row>
    <row r="8" spans="2:17" ht="20.25" customHeight="1">
      <c r="B8" s="119"/>
      <c r="C8" s="40"/>
      <c r="E8" s="61" t="s">
        <v>33</v>
      </c>
      <c r="F8" s="168" t="s">
        <v>173</v>
      </c>
      <c r="G8" s="168"/>
      <c r="H8" s="8"/>
      <c r="I8" s="40" t="s">
        <v>75</v>
      </c>
      <c r="J8" s="8" t="s">
        <v>175</v>
      </c>
      <c r="K8" s="10"/>
      <c r="L8" s="40"/>
      <c r="M8" s="40"/>
      <c r="N8" s="120"/>
      <c r="O8" s="21"/>
      <c r="Q8" s="107"/>
    </row>
    <row r="9" spans="2:17" ht="20.25" customHeight="1">
      <c r="B9" s="119"/>
      <c r="C9" s="40"/>
      <c r="E9" s="61" t="s">
        <v>32</v>
      </c>
      <c r="F9" s="169" t="s">
        <v>141</v>
      </c>
      <c r="G9" s="169"/>
      <c r="H9" s="8"/>
      <c r="I9" s="40" t="s">
        <v>76</v>
      </c>
      <c r="J9" s="76"/>
      <c r="K9" s="55"/>
      <c r="L9" s="40"/>
      <c r="M9" s="40"/>
      <c r="N9" s="120"/>
      <c r="O9" s="21"/>
    </row>
    <row r="10" spans="2:17" ht="20.25" customHeight="1">
      <c r="B10" s="119"/>
      <c r="D10" s="62"/>
      <c r="E10" s="61" t="s">
        <v>125</v>
      </c>
      <c r="F10" s="12" t="s">
        <v>179</v>
      </c>
      <c r="G10" s="10"/>
      <c r="H10" s="10"/>
      <c r="I10" s="10"/>
      <c r="J10" s="10"/>
      <c r="K10" s="10"/>
      <c r="L10" s="10"/>
      <c r="M10" s="9"/>
      <c r="N10" s="120"/>
      <c r="O10" s="21"/>
    </row>
    <row r="11" spans="2:17" ht="20.25" customHeight="1">
      <c r="B11" s="119"/>
      <c r="C11" s="40"/>
      <c r="D11" s="56"/>
      <c r="E11" s="9"/>
      <c r="F11" s="12"/>
      <c r="G11" s="12"/>
      <c r="H11" s="12"/>
      <c r="I11" s="12"/>
      <c r="J11" s="12"/>
      <c r="K11" s="12"/>
      <c r="L11" s="12"/>
      <c r="M11" s="9"/>
      <c r="N11" s="120"/>
      <c r="O11" s="21"/>
    </row>
    <row r="12" spans="2:17" ht="20.25" customHeight="1">
      <c r="B12" s="119"/>
      <c r="C12" s="40"/>
      <c r="D12" s="56"/>
      <c r="E12" s="9"/>
      <c r="F12" s="9"/>
      <c r="G12" s="9"/>
      <c r="H12" s="9"/>
      <c r="I12" s="9"/>
      <c r="J12" s="9"/>
      <c r="K12" s="9"/>
      <c r="L12" s="9"/>
      <c r="M12" s="9">
        <v>11</v>
      </c>
      <c r="N12" s="120"/>
      <c r="O12" s="21"/>
    </row>
    <row r="13" spans="2:17" ht="15.75" customHeight="1">
      <c r="B13" s="119"/>
      <c r="C13" s="143" t="s">
        <v>129</v>
      </c>
      <c r="D13" s="144"/>
      <c r="E13" s="144"/>
      <c r="F13" s="144"/>
      <c r="G13" s="143" t="s">
        <v>130</v>
      </c>
      <c r="H13" s="144"/>
      <c r="I13" s="162"/>
      <c r="J13" s="144" t="s">
        <v>2</v>
      </c>
      <c r="K13" s="144"/>
      <c r="L13" s="113"/>
      <c r="M13" s="111" t="s">
        <v>29</v>
      </c>
      <c r="N13" s="122"/>
      <c r="O13" s="21"/>
    </row>
    <row r="14" spans="2:17" s="2" customFormat="1" ht="72" customHeight="1">
      <c r="B14" s="123" t="s">
        <v>126</v>
      </c>
      <c r="C14" s="43" t="s">
        <v>78</v>
      </c>
      <c r="D14" s="44"/>
      <c r="E14" s="45" t="s">
        <v>127</v>
      </c>
      <c r="F14" s="45" t="s">
        <v>39</v>
      </c>
      <c r="G14" s="157" t="s">
        <v>128</v>
      </c>
      <c r="H14" s="112" t="s">
        <v>1</v>
      </c>
      <c r="I14" s="112" t="s">
        <v>27</v>
      </c>
      <c r="J14" s="112" t="s">
        <v>133</v>
      </c>
      <c r="K14" s="112" t="s">
        <v>131</v>
      </c>
      <c r="L14" s="112" t="s">
        <v>136</v>
      </c>
      <c r="M14" s="112" t="s">
        <v>153</v>
      </c>
      <c r="N14" s="124" t="s">
        <v>132</v>
      </c>
    </row>
    <row r="15" spans="2:17" ht="51" customHeight="1">
      <c r="B15" s="125">
        <f>IF(C15="","",1)</f>
        <v>1</v>
      </c>
      <c r="C15" s="182" t="s">
        <v>176</v>
      </c>
      <c r="D15" s="183"/>
      <c r="E15" s="146" t="s">
        <v>178</v>
      </c>
      <c r="F15" s="142">
        <v>1</v>
      </c>
      <c r="G15" s="158"/>
      <c r="H15" s="154">
        <v>50000</v>
      </c>
      <c r="I15" s="155">
        <f>IF(H15="","",F15*H15)</f>
        <v>50000</v>
      </c>
      <c r="J15" s="160"/>
      <c r="K15" s="159"/>
      <c r="L15" s="48"/>
      <c r="M15" s="49"/>
      <c r="N15" s="126"/>
    </row>
    <row r="16" spans="2:17" ht="73.5" customHeight="1">
      <c r="B16" s="125">
        <f>IF(C16="","",MAX($B$15:B15)+1)</f>
        <v>2</v>
      </c>
      <c r="C16" s="182" t="s">
        <v>177</v>
      </c>
      <c r="D16" s="183"/>
      <c r="E16" s="146" t="s">
        <v>180</v>
      </c>
      <c r="F16" s="142">
        <v>1</v>
      </c>
      <c r="G16" s="158"/>
      <c r="H16" s="154">
        <v>30000</v>
      </c>
      <c r="I16" s="155">
        <f t="shared" ref="I16:I22" si="0">IF(H16="","",F16*H16)</f>
        <v>30000</v>
      </c>
      <c r="J16" s="160"/>
      <c r="K16" s="159"/>
      <c r="L16" s="48"/>
      <c r="M16" s="49"/>
      <c r="N16" s="126"/>
    </row>
    <row r="17" spans="2:15" ht="59.25" customHeight="1">
      <c r="B17" s="125" t="str">
        <f>IF(C17="","",MAX($B$15:B16)+1)</f>
        <v/>
      </c>
      <c r="C17" s="182"/>
      <c r="D17" s="183"/>
      <c r="E17" s="146"/>
      <c r="F17" s="153"/>
      <c r="G17" s="158"/>
      <c r="H17" s="154"/>
      <c r="I17" s="155" t="str">
        <f t="shared" si="0"/>
        <v/>
      </c>
      <c r="J17" s="160"/>
      <c r="K17" s="159"/>
      <c r="L17" s="48"/>
      <c r="M17" s="49"/>
      <c r="N17" s="126"/>
    </row>
    <row r="18" spans="2:15" ht="51" customHeight="1">
      <c r="B18" s="125" t="str">
        <f>IF(C18="","",MAX($B$15:B17)+1)</f>
        <v/>
      </c>
      <c r="C18" s="182"/>
      <c r="D18" s="183"/>
      <c r="E18" s="152"/>
      <c r="F18" s="142"/>
      <c r="G18" s="154"/>
      <c r="H18" s="154"/>
      <c r="I18" s="155" t="str">
        <f t="shared" si="0"/>
        <v/>
      </c>
      <c r="J18" s="114"/>
      <c r="K18" s="49"/>
      <c r="L18" s="48"/>
      <c r="M18" s="49"/>
      <c r="N18" s="126"/>
    </row>
    <row r="19" spans="2:15" ht="51" customHeight="1">
      <c r="B19" s="125" t="str">
        <f>IF(C19="","",MAX($B$15:B18)+1)</f>
        <v/>
      </c>
      <c r="C19" s="182"/>
      <c r="D19" s="183"/>
      <c r="E19" s="152"/>
      <c r="F19" s="142"/>
      <c r="G19" s="16"/>
      <c r="H19" s="16"/>
      <c r="I19" s="47" t="str">
        <f t="shared" si="0"/>
        <v/>
      </c>
      <c r="J19" s="114"/>
      <c r="K19" s="49"/>
      <c r="L19" s="48"/>
      <c r="M19" s="46"/>
      <c r="N19" s="126"/>
    </row>
    <row r="20" spans="2:15" ht="51" customHeight="1">
      <c r="B20" s="125" t="str">
        <f>IF(C20="","",MAX($B$15:B19)+1)</f>
        <v/>
      </c>
      <c r="C20" s="182"/>
      <c r="D20" s="183"/>
      <c r="E20" s="152"/>
      <c r="F20" s="142"/>
      <c r="G20" s="16"/>
      <c r="H20" s="16"/>
      <c r="I20" s="47" t="str">
        <f t="shared" si="0"/>
        <v/>
      </c>
      <c r="J20" s="114"/>
      <c r="K20" s="49"/>
      <c r="L20" s="48"/>
      <c r="M20" s="49"/>
      <c r="N20" s="126"/>
    </row>
    <row r="21" spans="2:15" ht="51" customHeight="1">
      <c r="B21" s="125" t="str">
        <f>IF(C21="","",MAX($B$15:B20)+1)</f>
        <v/>
      </c>
      <c r="C21" s="182"/>
      <c r="D21" s="183"/>
      <c r="E21" s="145"/>
      <c r="F21" s="142"/>
      <c r="G21" s="16"/>
      <c r="H21" s="16"/>
      <c r="I21" s="47" t="str">
        <f t="shared" si="0"/>
        <v/>
      </c>
      <c r="J21" s="114"/>
      <c r="K21" s="49"/>
      <c r="L21" s="48"/>
      <c r="M21" s="49"/>
      <c r="N21" s="126"/>
    </row>
    <row r="22" spans="2:15" ht="51" customHeight="1">
      <c r="B22" s="125" t="str">
        <f>IF(C22="","",MAX($B$15:B21)+1)</f>
        <v/>
      </c>
      <c r="C22" s="182"/>
      <c r="D22" s="183"/>
      <c r="E22" s="152"/>
      <c r="F22" s="142"/>
      <c r="G22" s="16"/>
      <c r="H22" s="16"/>
      <c r="I22" s="47" t="str">
        <f t="shared" si="0"/>
        <v/>
      </c>
      <c r="J22" s="114"/>
      <c r="K22" s="49"/>
      <c r="L22" s="48"/>
      <c r="M22" s="49"/>
      <c r="N22" s="126"/>
    </row>
    <row r="23" spans="2:15" ht="15.75">
      <c r="B23" s="127" t="s">
        <v>134</v>
      </c>
      <c r="C23" s="38"/>
      <c r="D23" s="38"/>
      <c r="E23" s="38"/>
      <c r="F23" s="38"/>
      <c r="G23" s="38"/>
      <c r="H23" s="13"/>
      <c r="I23" s="13"/>
      <c r="J23" s="141"/>
      <c r="K23" s="141"/>
      <c r="L23" s="38"/>
      <c r="M23" s="38"/>
      <c r="N23" s="140"/>
      <c r="O23" s="21"/>
    </row>
    <row r="24" spans="2:15" ht="15.75">
      <c r="B24" s="119"/>
      <c r="C24" s="13"/>
      <c r="D24" s="13"/>
      <c r="E24" s="13"/>
      <c r="F24" s="13"/>
      <c r="G24" s="13"/>
      <c r="H24" s="77"/>
      <c r="I24" s="77"/>
      <c r="J24" s="78"/>
      <c r="K24" s="78"/>
      <c r="L24" s="13"/>
      <c r="M24" s="13"/>
      <c r="N24" s="120"/>
      <c r="O24" s="21"/>
    </row>
    <row r="25" spans="2:15" ht="18" customHeight="1">
      <c r="B25" s="128"/>
      <c r="C25" s="70"/>
      <c r="D25" s="13"/>
      <c r="E25" s="13"/>
      <c r="F25" s="13"/>
      <c r="G25" s="13"/>
      <c r="H25" s="77"/>
      <c r="I25" s="77"/>
      <c r="J25" s="78"/>
      <c r="K25" s="78"/>
      <c r="L25" s="13"/>
      <c r="M25" s="13"/>
      <c r="N25" s="120"/>
      <c r="O25" s="21"/>
    </row>
    <row r="26" spans="2:15" ht="15.75">
      <c r="B26" s="119"/>
      <c r="C26" s="61"/>
      <c r="D26" s="13"/>
      <c r="E26" s="13"/>
      <c r="F26" s="179" t="s">
        <v>3</v>
      </c>
      <c r="G26" s="175"/>
      <c r="H26" s="22"/>
      <c r="I26" s="79" t="s">
        <v>35</v>
      </c>
      <c r="J26" s="50"/>
      <c r="K26" s="175" t="s">
        <v>2</v>
      </c>
      <c r="L26" s="176"/>
      <c r="M26" s="115" t="s">
        <v>36</v>
      </c>
      <c r="N26" s="122"/>
    </row>
    <row r="27" spans="2:15" ht="36" customHeight="1">
      <c r="B27" s="119"/>
      <c r="C27" s="13"/>
      <c r="D27" s="13"/>
      <c r="E27" s="13"/>
      <c r="F27" s="13"/>
      <c r="G27" s="13"/>
      <c r="H27" s="52"/>
      <c r="I27" s="161">
        <f>SUM(I15:I22)</f>
        <v>80000</v>
      </c>
      <c r="J27" s="53"/>
      <c r="K27" s="54"/>
      <c r="L27" s="42"/>
      <c r="M27" s="22"/>
      <c r="N27" s="122"/>
    </row>
    <row r="28" spans="2:15" ht="24" customHeight="1">
      <c r="B28" s="129"/>
      <c r="C28" s="13"/>
      <c r="D28" s="13"/>
      <c r="E28" s="13"/>
      <c r="F28" s="13"/>
      <c r="G28" s="13"/>
      <c r="H28" s="66"/>
      <c r="I28" s="67"/>
      <c r="J28" s="13"/>
      <c r="K28" s="13"/>
      <c r="L28" s="13"/>
      <c r="N28" s="120"/>
    </row>
    <row r="29" spans="2:15" ht="15.75">
      <c r="B29" s="130" t="s">
        <v>86</v>
      </c>
      <c r="C29" s="79"/>
      <c r="D29" s="80"/>
      <c r="E29" s="54"/>
      <c r="F29" s="42"/>
      <c r="G29" s="42"/>
      <c r="H29" s="42"/>
      <c r="I29" s="50" t="s">
        <v>82</v>
      </c>
      <c r="J29" s="42"/>
      <c r="K29" s="42"/>
      <c r="L29" s="42"/>
      <c r="M29" s="59"/>
      <c r="N29" s="122"/>
    </row>
    <row r="30" spans="2:15" ht="15.75">
      <c r="B30" s="131" t="s">
        <v>164</v>
      </c>
      <c r="C30" s="62"/>
      <c r="D30" s="68" t="s">
        <v>163</v>
      </c>
      <c r="E30" s="60" t="s">
        <v>158</v>
      </c>
      <c r="F30" s="180" t="s">
        <v>162</v>
      </c>
      <c r="G30" s="180"/>
      <c r="H30" s="139" t="s">
        <v>160</v>
      </c>
      <c r="I30" s="139"/>
      <c r="J30" s="139"/>
      <c r="K30" s="63" t="s">
        <v>80</v>
      </c>
      <c r="L30" s="13"/>
      <c r="M30" s="63" t="s">
        <v>161</v>
      </c>
      <c r="N30" s="120"/>
    </row>
    <row r="31" spans="2:15" ht="15.75">
      <c r="B31" s="132"/>
      <c r="C31" s="13"/>
      <c r="D31" s="68" t="s">
        <v>84</v>
      </c>
      <c r="E31" s="19"/>
      <c r="F31" s="13"/>
      <c r="G31" s="13"/>
      <c r="H31" s="181"/>
      <c r="I31" s="181"/>
      <c r="J31" s="13"/>
      <c r="K31" s="63" t="s">
        <v>81</v>
      </c>
      <c r="L31" s="13"/>
      <c r="N31" s="120"/>
    </row>
    <row r="32" spans="2:15" ht="15.75">
      <c r="B32" s="133"/>
      <c r="C32" s="56"/>
      <c r="D32" s="57"/>
      <c r="E32" s="19"/>
      <c r="F32" s="13"/>
      <c r="G32" s="13"/>
      <c r="H32" s="13"/>
      <c r="I32" s="13"/>
      <c r="J32" s="13"/>
      <c r="K32" s="13"/>
      <c r="L32" s="13"/>
      <c r="N32" s="120"/>
    </row>
    <row r="33" spans="2:15" ht="15.75">
      <c r="B33" s="133"/>
      <c r="C33" s="56"/>
      <c r="D33" s="57"/>
      <c r="E33" s="19"/>
      <c r="F33" s="13"/>
      <c r="G33" s="13"/>
      <c r="H33" s="13"/>
      <c r="I33" s="13"/>
      <c r="J33" s="13"/>
      <c r="K33" s="13"/>
      <c r="L33" s="13"/>
      <c r="N33" s="120"/>
    </row>
    <row r="34" spans="2:15" ht="15.75">
      <c r="B34" s="133"/>
      <c r="C34" s="56"/>
      <c r="D34" s="57"/>
      <c r="E34" s="19"/>
      <c r="F34" s="13"/>
      <c r="G34" s="13"/>
      <c r="H34" s="13"/>
      <c r="I34" s="13"/>
      <c r="J34" s="13"/>
      <c r="K34" s="13"/>
      <c r="L34" s="13"/>
      <c r="N34" s="120"/>
    </row>
    <row r="35" spans="2:15" ht="30.75" customHeight="1">
      <c r="B35" s="133"/>
      <c r="C35" s="56"/>
      <c r="D35" s="57"/>
      <c r="E35" s="108" t="s">
        <v>169</v>
      </c>
      <c r="F35" s="178" t="s">
        <v>146</v>
      </c>
      <c r="G35" s="178"/>
      <c r="H35" s="178" t="s">
        <v>28</v>
      </c>
      <c r="I35" s="178"/>
      <c r="J35" s="13"/>
      <c r="K35" s="13" t="s">
        <v>157</v>
      </c>
      <c r="L35" s="13"/>
      <c r="M35" s="77" t="s">
        <v>159</v>
      </c>
      <c r="N35" s="120"/>
    </row>
    <row r="36" spans="2:15" ht="15.75">
      <c r="B36" s="134" t="s">
        <v>142</v>
      </c>
      <c r="C36" s="170">
        <v>46087</v>
      </c>
      <c r="D36" s="71" t="s">
        <v>135</v>
      </c>
      <c r="E36" s="64" t="s">
        <v>79</v>
      </c>
      <c r="F36" s="39" t="s">
        <v>79</v>
      </c>
      <c r="G36" s="39"/>
      <c r="H36" s="39"/>
      <c r="I36" s="69" t="s">
        <v>79</v>
      </c>
      <c r="J36" s="39"/>
      <c r="K36" s="65" t="s">
        <v>79</v>
      </c>
      <c r="L36" s="39"/>
      <c r="M36" s="65" t="s">
        <v>83</v>
      </c>
      <c r="N36" s="135"/>
    </row>
    <row r="37" spans="2:15" ht="15.75">
      <c r="B37" s="129" t="s">
        <v>34</v>
      </c>
      <c r="C37" s="13"/>
      <c r="D37" s="13"/>
      <c r="E37" s="13"/>
      <c r="F37" s="13"/>
      <c r="G37" s="13"/>
      <c r="H37" s="13"/>
      <c r="I37" s="13"/>
      <c r="J37" s="13"/>
      <c r="K37" s="13"/>
      <c r="N37" s="120"/>
      <c r="O37" s="21"/>
    </row>
    <row r="38" spans="2:15" ht="15.75">
      <c r="B38" s="128"/>
      <c r="C38" s="14"/>
      <c r="D38" s="14"/>
      <c r="E38" s="14"/>
      <c r="F38" s="14"/>
      <c r="G38" s="14"/>
      <c r="H38" s="14"/>
      <c r="I38" s="14"/>
      <c r="J38" s="14"/>
      <c r="K38" s="39"/>
      <c r="L38" s="39"/>
      <c r="M38" s="39"/>
      <c r="N38" s="120"/>
      <c r="O38" s="21"/>
    </row>
    <row r="39" spans="2:15" ht="15.75">
      <c r="B39" s="128"/>
      <c r="C39" s="15"/>
      <c r="D39" s="15"/>
      <c r="E39" s="15"/>
      <c r="F39" s="15"/>
      <c r="G39" s="15"/>
      <c r="H39" s="15"/>
      <c r="I39" s="15"/>
      <c r="J39" s="15"/>
      <c r="K39" s="42"/>
      <c r="L39" s="42"/>
      <c r="M39" s="42"/>
      <c r="N39" s="120"/>
      <c r="O39" s="21"/>
    </row>
    <row r="40" spans="2:15" ht="15.75">
      <c r="B40" s="128"/>
      <c r="C40" s="15"/>
      <c r="D40" s="15"/>
      <c r="E40" s="15"/>
      <c r="F40" s="15"/>
      <c r="G40" s="15"/>
      <c r="H40" s="15"/>
      <c r="I40" s="15"/>
      <c r="J40" s="15"/>
      <c r="K40" s="42"/>
      <c r="L40" s="42"/>
      <c r="M40" s="42"/>
      <c r="N40" s="120"/>
      <c r="O40" s="21"/>
    </row>
    <row r="41" spans="2:15" ht="15.75">
      <c r="B41" s="128"/>
      <c r="C41" s="15"/>
      <c r="D41" s="15"/>
      <c r="E41" s="15"/>
      <c r="F41" s="15"/>
      <c r="G41" s="15"/>
      <c r="H41" s="15"/>
      <c r="I41" s="15"/>
      <c r="J41" s="15"/>
      <c r="K41" s="42"/>
      <c r="L41" s="42"/>
      <c r="M41" s="42"/>
      <c r="N41" s="120"/>
      <c r="O41" s="21"/>
    </row>
    <row r="42" spans="2:15" ht="16.5" thickBot="1">
      <c r="B42" s="136"/>
      <c r="C42" s="137"/>
      <c r="D42" s="137"/>
      <c r="E42" s="137"/>
      <c r="F42" s="137"/>
      <c r="G42" s="137"/>
      <c r="H42" s="137"/>
      <c r="I42" s="137"/>
      <c r="J42" s="137"/>
      <c r="K42" s="137"/>
      <c r="L42" s="137"/>
      <c r="M42" s="137"/>
      <c r="N42" s="138" t="s">
        <v>170</v>
      </c>
      <c r="O42" s="24"/>
    </row>
    <row r="43" spans="2:15" ht="15.75">
      <c r="B43" s="13"/>
      <c r="C43" s="13"/>
      <c r="D43" s="13"/>
      <c r="E43" s="13"/>
      <c r="F43" s="13"/>
      <c r="G43" s="13"/>
      <c r="H43" s="13"/>
      <c r="I43" s="13"/>
      <c r="J43" s="13"/>
      <c r="K43" s="13"/>
      <c r="L43" s="13"/>
      <c r="M43" s="13"/>
    </row>
    <row r="56" spans="6:7">
      <c r="F56" s="35"/>
      <c r="G56" s="35"/>
    </row>
    <row r="57" spans="6:7">
      <c r="F57" s="35"/>
      <c r="G57" s="35"/>
    </row>
    <row r="58" spans="6:7">
      <c r="F58" s="35"/>
      <c r="G58" s="35"/>
    </row>
    <row r="59" spans="6:7">
      <c r="F59" s="35"/>
      <c r="G59" s="35"/>
    </row>
    <row r="60" spans="6:7">
      <c r="F60" s="35"/>
      <c r="G60" s="35"/>
    </row>
    <row r="61" spans="6:7">
      <c r="F61" s="35"/>
      <c r="G61" s="35"/>
    </row>
    <row r="62" spans="6:7">
      <c r="F62" s="35"/>
      <c r="G62" s="35"/>
    </row>
    <row r="63" spans="6:7">
      <c r="F63" s="35"/>
      <c r="G63" s="35"/>
    </row>
    <row r="64" spans="6:7">
      <c r="G64" s="156"/>
    </row>
  </sheetData>
  <sheetProtection algorithmName="SHA-512" hashValue="wso3kpBKoB0tGg76yuWsCIW6dEPoXL/52NIj5ir93fpuchM0Dn2MckESmUWJANpk8k8KDakjsN7mRxC75+AANA==" saltValue="YFkU7gFf6bIVDCkAAZwx8g==" spinCount="100000" sheet="1" formatColumns="0" selectLockedCells="1"/>
  <mergeCells count="17">
    <mergeCell ref="C20:D20"/>
    <mergeCell ref="C21:D21"/>
    <mergeCell ref="C22:D22"/>
    <mergeCell ref="C15:D15"/>
    <mergeCell ref="C16:D16"/>
    <mergeCell ref="C17:D17"/>
    <mergeCell ref="C18:D18"/>
    <mergeCell ref="C19:D19"/>
    <mergeCell ref="F5:G5"/>
    <mergeCell ref="E3:L3"/>
    <mergeCell ref="K26:L26"/>
    <mergeCell ref="E4:L4"/>
    <mergeCell ref="H35:I35"/>
    <mergeCell ref="F26:G26"/>
    <mergeCell ref="F35:G35"/>
    <mergeCell ref="F30:G30"/>
    <mergeCell ref="H31:I31"/>
  </mergeCells>
  <dataValidations count="4">
    <dataValidation operator="greaterThan" allowBlank="1" showInputMessage="1" showErrorMessage="1" errorTitle="Numériques" error="Mettre des chiffres s'il vous plait" promptTitle="Quantité" prompt="Mettre des chiffres" sqref="H15:H22" xr:uid="{00000000-0002-0000-0100-000000000000}"/>
    <dataValidation type="whole" showInputMessage="1" showErrorMessage="1" errorTitle="Impossible" error="Mettre un nombre entre 0 et 52 , sans S" promptTitle="Semaine" prompt="Mettre le rang de la semaine sans S" sqref="J6" xr:uid="{00000000-0002-0000-0100-000001000000}">
      <formula1>0</formula1>
      <formula2>52</formula2>
    </dataValidation>
    <dataValidation type="list" showInputMessage="1" showErrorMessage="1" sqref="F9" xr:uid="{00000000-0002-0000-0100-000002000000}">
      <formula1>service</formula1>
    </dataValidation>
    <dataValidation operator="greaterThan" allowBlank="1" errorTitle="Numériques" error="Mettre des chiffres s'il vous plait" promptTitle="Quantité" prompt="Mettre des chiffres" sqref="G15:G22" xr:uid="{00000000-0002-0000-0100-000003000000}"/>
  </dataValidations>
  <pageMargins left="0.31" right="0.15748031496062992" top="0.17" bottom="0.12" header="0.1" footer="0.04"/>
  <pageSetup paperSize="9" scale="52"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1"/>
  <dimension ref="A1:F32"/>
  <sheetViews>
    <sheetView topLeftCell="A22" zoomScale="80" zoomScaleNormal="80" workbookViewId="0">
      <selection activeCell="E11" sqref="E11"/>
    </sheetView>
  </sheetViews>
  <sheetFormatPr baseColWidth="10" defaultRowHeight="15"/>
  <cols>
    <col min="1" max="1" width="3.85546875" customWidth="1"/>
    <col min="2" max="2" width="18.28515625" customWidth="1"/>
    <col min="3" max="3" width="32" customWidth="1"/>
    <col min="4" max="4" width="88.28515625" customWidth="1"/>
    <col min="5" max="5" width="44.28515625" style="81" customWidth="1"/>
    <col min="6" max="6" width="16.28515625" customWidth="1"/>
  </cols>
  <sheetData>
    <row r="1" spans="1:6">
      <c r="A1" s="1"/>
      <c r="B1" s="1"/>
      <c r="C1" s="1"/>
      <c r="D1" s="1"/>
      <c r="E1" s="84"/>
    </row>
    <row r="2" spans="1:6">
      <c r="A2" s="1"/>
      <c r="B2" s="1" t="s">
        <v>87</v>
      </c>
      <c r="C2" s="1"/>
      <c r="D2" s="1"/>
      <c r="E2" s="84"/>
    </row>
    <row r="3" spans="1:6">
      <c r="A3" s="1"/>
      <c r="B3" s="1" t="s">
        <v>121</v>
      </c>
      <c r="C3" s="1"/>
      <c r="D3" s="1"/>
      <c r="E3" s="84"/>
    </row>
    <row r="4" spans="1:6">
      <c r="A4" s="1"/>
      <c r="B4" s="1"/>
      <c r="C4" s="1"/>
      <c r="D4" s="1"/>
      <c r="E4" s="84"/>
    </row>
    <row r="5" spans="1:6">
      <c r="A5" s="1"/>
      <c r="B5" s="104" t="s">
        <v>88</v>
      </c>
      <c r="C5" s="105" t="s">
        <v>89</v>
      </c>
      <c r="D5" s="51" t="s">
        <v>108</v>
      </c>
      <c r="E5" s="106" t="s">
        <v>107</v>
      </c>
      <c r="F5" s="7" t="s">
        <v>122</v>
      </c>
    </row>
    <row r="6" spans="1:6" ht="68.25" customHeight="1">
      <c r="A6" s="1"/>
      <c r="B6" s="88" t="s">
        <v>90</v>
      </c>
      <c r="C6" s="163" t="s">
        <v>91</v>
      </c>
      <c r="D6" s="164" t="s">
        <v>92</v>
      </c>
      <c r="E6" s="95" t="s">
        <v>154</v>
      </c>
      <c r="F6" s="109" t="s">
        <v>123</v>
      </c>
    </row>
    <row r="7" spans="1:6">
      <c r="A7" s="1"/>
      <c r="B7" s="36"/>
      <c r="C7" s="96"/>
      <c r="D7" s="89"/>
      <c r="E7" s="101"/>
      <c r="F7" s="185" t="s">
        <v>144</v>
      </c>
    </row>
    <row r="8" spans="1:6" ht="30.75" customHeight="1">
      <c r="A8" s="1"/>
      <c r="B8" s="110" t="s">
        <v>124</v>
      </c>
      <c r="C8" s="97" t="s">
        <v>93</v>
      </c>
      <c r="D8" s="86" t="s">
        <v>94</v>
      </c>
      <c r="E8" s="102"/>
      <c r="F8" s="185"/>
    </row>
    <row r="9" spans="1:6" ht="47.25" customHeight="1">
      <c r="A9" s="1"/>
      <c r="B9" s="20"/>
      <c r="C9" s="98" t="s">
        <v>110</v>
      </c>
      <c r="D9" s="85" t="s">
        <v>95</v>
      </c>
      <c r="E9" s="102" t="s">
        <v>96</v>
      </c>
      <c r="F9" s="185"/>
    </row>
    <row r="10" spans="1:6">
      <c r="A10" s="1"/>
      <c r="B10" s="23"/>
      <c r="C10" s="99"/>
      <c r="D10" s="90"/>
      <c r="E10" s="103"/>
      <c r="F10" s="185"/>
    </row>
    <row r="11" spans="1:6">
      <c r="A11" s="1"/>
      <c r="B11" s="36" t="s">
        <v>97</v>
      </c>
      <c r="C11" s="96" t="s">
        <v>109</v>
      </c>
      <c r="D11" s="91" t="s">
        <v>98</v>
      </c>
      <c r="E11" s="101" t="s">
        <v>99</v>
      </c>
    </row>
    <row r="12" spans="1:6" ht="60">
      <c r="A12" s="1"/>
      <c r="B12" s="20"/>
      <c r="C12" s="100"/>
      <c r="D12" s="85" t="s">
        <v>112</v>
      </c>
      <c r="E12" s="102" t="s">
        <v>100</v>
      </c>
    </row>
    <row r="13" spans="1:6">
      <c r="A13" s="1"/>
      <c r="B13" s="23"/>
      <c r="C13" s="99"/>
      <c r="D13" s="90"/>
      <c r="E13" s="103"/>
    </row>
    <row r="14" spans="1:6" ht="48" customHeight="1">
      <c r="A14" s="1"/>
      <c r="B14" s="92" t="s">
        <v>101</v>
      </c>
      <c r="C14" s="96" t="s">
        <v>102</v>
      </c>
      <c r="D14" s="93" t="s">
        <v>103</v>
      </c>
      <c r="E14" s="101"/>
    </row>
    <row r="15" spans="1:6">
      <c r="A15" s="1"/>
      <c r="B15" s="20"/>
      <c r="C15" s="100"/>
      <c r="D15" s="86"/>
      <c r="E15" s="102"/>
    </row>
    <row r="16" spans="1:6">
      <c r="A16" s="1"/>
      <c r="B16" s="23"/>
      <c r="C16" s="99"/>
      <c r="D16" s="90"/>
      <c r="E16" s="103"/>
    </row>
    <row r="17" spans="1:5" ht="45">
      <c r="A17" s="1"/>
      <c r="B17" s="88" t="s">
        <v>7</v>
      </c>
      <c r="C17" s="95" t="s">
        <v>104</v>
      </c>
      <c r="D17" s="94" t="s">
        <v>105</v>
      </c>
      <c r="E17" s="95" t="s">
        <v>106</v>
      </c>
    </row>
    <row r="18" spans="1:5">
      <c r="A18" s="1"/>
      <c r="B18" s="1"/>
      <c r="C18" s="1"/>
      <c r="D18" s="1"/>
      <c r="E18" s="84"/>
    </row>
    <row r="19" spans="1:5">
      <c r="A19" s="1"/>
      <c r="B19" s="1"/>
      <c r="C19" s="1"/>
      <c r="D19" s="1"/>
      <c r="E19" s="84"/>
    </row>
    <row r="20" spans="1:5">
      <c r="A20" s="1"/>
      <c r="B20" s="1" t="s">
        <v>117</v>
      </c>
      <c r="C20" s="1"/>
      <c r="D20" s="1"/>
      <c r="E20" s="84"/>
    </row>
    <row r="21" spans="1:5">
      <c r="A21" s="1"/>
      <c r="B21" s="18" t="s">
        <v>118</v>
      </c>
      <c r="C21" s="1"/>
      <c r="D21" s="1"/>
      <c r="E21" s="84"/>
    </row>
    <row r="22" spans="1:5">
      <c r="A22" s="1"/>
      <c r="C22" s="87" t="s">
        <v>114</v>
      </c>
      <c r="D22" s="1"/>
      <c r="E22" s="84"/>
    </row>
    <row r="23" spans="1:5">
      <c r="A23" s="1"/>
      <c r="B23" s="1"/>
      <c r="C23" s="87" t="s">
        <v>115</v>
      </c>
      <c r="D23" s="1"/>
      <c r="E23" s="84"/>
    </row>
    <row r="24" spans="1:5">
      <c r="A24" s="1"/>
      <c r="B24" s="1"/>
      <c r="C24" s="87" t="s">
        <v>116</v>
      </c>
      <c r="D24" s="1"/>
      <c r="E24" s="84"/>
    </row>
    <row r="25" spans="1:5">
      <c r="A25" s="1"/>
      <c r="B25" s="1"/>
      <c r="C25" s="1"/>
      <c r="D25" s="1"/>
      <c r="E25" s="84"/>
    </row>
    <row r="26" spans="1:5">
      <c r="A26" s="1"/>
      <c r="B26" s="1"/>
      <c r="C26" s="1"/>
      <c r="D26" s="1"/>
      <c r="E26" s="84"/>
    </row>
    <row r="27" spans="1:5">
      <c r="A27" s="1"/>
      <c r="B27" s="18" t="s">
        <v>111</v>
      </c>
      <c r="C27" s="1"/>
      <c r="D27" s="1"/>
      <c r="E27" s="84"/>
    </row>
    <row r="28" spans="1:5">
      <c r="A28" s="1"/>
      <c r="B28" s="1"/>
      <c r="C28" s="1" t="s">
        <v>119</v>
      </c>
      <c r="D28" s="1"/>
      <c r="E28" s="84"/>
    </row>
    <row r="29" spans="1:5" ht="45" customHeight="1">
      <c r="A29" s="1"/>
      <c r="B29" s="1"/>
      <c r="C29" s="184" t="s">
        <v>120</v>
      </c>
      <c r="D29" s="184"/>
      <c r="E29" s="184"/>
    </row>
    <row r="30" spans="1:5">
      <c r="A30" s="1"/>
      <c r="B30" s="1"/>
      <c r="C30" s="1"/>
      <c r="D30" s="1"/>
      <c r="E30" s="84"/>
    </row>
    <row r="31" spans="1:5">
      <c r="A31" s="1"/>
      <c r="B31" s="1"/>
      <c r="C31" s="1" t="s">
        <v>145</v>
      </c>
      <c r="D31" s="1"/>
      <c r="E31" s="84"/>
    </row>
    <row r="32" spans="1:5">
      <c r="A32" s="1"/>
      <c r="B32" s="1"/>
      <c r="C32" s="1"/>
      <c r="D32" s="1"/>
      <c r="E32" s="84"/>
    </row>
  </sheetData>
  <mergeCells count="2">
    <mergeCell ref="C29:E29"/>
    <mergeCell ref="F7:F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C3:K19"/>
  <sheetViews>
    <sheetView zoomScale="90" zoomScaleNormal="90" workbookViewId="0">
      <selection activeCell="G22" sqref="G22"/>
    </sheetView>
  </sheetViews>
  <sheetFormatPr baseColWidth="10" defaultRowHeight="15"/>
  <cols>
    <col min="1" max="2" width="11.42578125" style="1"/>
    <col min="3" max="3" width="6.85546875" style="1" customWidth="1"/>
    <col min="4" max="4" width="38.140625" style="1" customWidth="1"/>
    <col min="5" max="5" width="36.140625" style="1" customWidth="1"/>
    <col min="6" max="6" width="4.5703125" style="1" customWidth="1"/>
    <col min="7" max="7" width="42" style="1" bestFit="1" customWidth="1"/>
    <col min="8" max="8" width="11.28515625" style="1" customWidth="1"/>
    <col min="9" max="16384" width="11.42578125" style="1"/>
  </cols>
  <sheetData>
    <row r="3" spans="3:11">
      <c r="C3" s="1" t="s">
        <v>52</v>
      </c>
    </row>
    <row r="4" spans="3:11">
      <c r="I4" s="33"/>
      <c r="J4" s="32"/>
    </row>
    <row r="5" spans="3:11">
      <c r="C5" s="1" t="s">
        <v>53</v>
      </c>
      <c r="I5" s="33"/>
    </row>
    <row r="6" spans="3:11">
      <c r="C6" s="30" t="s">
        <v>54</v>
      </c>
      <c r="D6" s="1" t="s">
        <v>64</v>
      </c>
      <c r="I6" s="34"/>
      <c r="K6" s="31"/>
    </row>
    <row r="7" spans="3:11">
      <c r="C7" s="1" t="s">
        <v>55</v>
      </c>
      <c r="D7" s="74" t="s">
        <v>85</v>
      </c>
      <c r="E7" s="73">
        <v>30000</v>
      </c>
      <c r="F7" s="18" t="s">
        <v>57</v>
      </c>
    </row>
    <row r="8" spans="3:11">
      <c r="C8" s="30" t="s">
        <v>56</v>
      </c>
      <c r="D8" s="1" t="s">
        <v>151</v>
      </c>
      <c r="E8" s="35"/>
      <c r="F8" s="1" t="s">
        <v>58</v>
      </c>
    </row>
    <row r="9" spans="3:11">
      <c r="D9" s="1" t="s">
        <v>59</v>
      </c>
      <c r="E9" s="72">
        <f>+E7/6</f>
        <v>5000</v>
      </c>
      <c r="G9" s="1" t="s">
        <v>60</v>
      </c>
    </row>
    <row r="10" spans="3:11">
      <c r="D10" s="1" t="s">
        <v>62</v>
      </c>
      <c r="E10" s="72">
        <f>+E7/1.2</f>
        <v>25000</v>
      </c>
      <c r="G10" s="1" t="s">
        <v>61</v>
      </c>
    </row>
    <row r="13" spans="3:11">
      <c r="C13" s="1" t="s">
        <v>63</v>
      </c>
    </row>
    <row r="14" spans="3:11">
      <c r="C14" s="30" t="s">
        <v>54</v>
      </c>
      <c r="D14" s="1" t="s">
        <v>65</v>
      </c>
    </row>
    <row r="15" spans="3:11">
      <c r="D15" s="74" t="s">
        <v>85</v>
      </c>
      <c r="E15" s="73">
        <v>3400</v>
      </c>
      <c r="F15" s="18" t="s">
        <v>57</v>
      </c>
    </row>
    <row r="16" spans="3:11">
      <c r="C16" s="30" t="s">
        <v>56</v>
      </c>
      <c r="D16" s="1" t="s">
        <v>152</v>
      </c>
      <c r="F16" s="1" t="s">
        <v>69</v>
      </c>
    </row>
    <row r="17" spans="4:8">
      <c r="D17" s="1" t="s">
        <v>66</v>
      </c>
      <c r="E17" s="75">
        <f>+E15*5.26%</f>
        <v>178.84</v>
      </c>
      <c r="G17" s="1" t="s">
        <v>70</v>
      </c>
      <c r="H17" s="1" t="s">
        <v>71</v>
      </c>
    </row>
    <row r="18" spans="4:8">
      <c r="D18" s="1" t="s">
        <v>67</v>
      </c>
      <c r="E18" s="75">
        <f>+E15+E17</f>
        <v>3578.84</v>
      </c>
      <c r="G18" s="1" t="s">
        <v>72</v>
      </c>
    </row>
    <row r="19" spans="4:8">
      <c r="D19" s="1" t="s">
        <v>68</v>
      </c>
      <c r="E19" s="75">
        <f>+E15/0.95</f>
        <v>3578.9473684210529</v>
      </c>
      <c r="G19" s="1" t="s">
        <v>73</v>
      </c>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F4:F25"/>
  <sheetViews>
    <sheetView workbookViewId="0">
      <selection activeCell="K23" sqref="K23"/>
    </sheetView>
  </sheetViews>
  <sheetFormatPr baseColWidth="10" defaultRowHeight="15"/>
  <cols>
    <col min="1" max="5" width="11.42578125" style="1"/>
    <col min="6" max="6" width="18.28515625" style="1" bestFit="1" customWidth="1"/>
    <col min="7" max="16384" width="11.42578125" style="1"/>
  </cols>
  <sheetData>
    <row r="4" spans="6:6">
      <c r="F4" s="1" t="s">
        <v>4</v>
      </c>
    </row>
    <row r="6" spans="6:6">
      <c r="F6" s="1" t="s">
        <v>0</v>
      </c>
    </row>
    <row r="7" spans="6:6">
      <c r="F7" s="4" t="s">
        <v>5</v>
      </c>
    </row>
    <row r="8" spans="6:6">
      <c r="F8" s="5" t="s">
        <v>2</v>
      </c>
    </row>
    <row r="9" spans="6:6">
      <c r="F9" s="5" t="s">
        <v>166</v>
      </c>
    </row>
    <row r="10" spans="6:6">
      <c r="F10" s="5" t="s">
        <v>6</v>
      </c>
    </row>
    <row r="11" spans="6:6">
      <c r="F11" s="5" t="s">
        <v>7</v>
      </c>
    </row>
    <row r="12" spans="6:6">
      <c r="F12" s="5" t="s">
        <v>8</v>
      </c>
    </row>
    <row r="13" spans="6:6">
      <c r="F13" s="5" t="s">
        <v>9</v>
      </c>
    </row>
    <row r="14" spans="6:6">
      <c r="F14" s="5" t="s">
        <v>10</v>
      </c>
    </row>
    <row r="15" spans="6:6">
      <c r="F15" s="5" t="s">
        <v>11</v>
      </c>
    </row>
    <row r="16" spans="6:6">
      <c r="F16" s="5" t="s">
        <v>12</v>
      </c>
    </row>
    <row r="17" spans="6:6">
      <c r="F17" s="5" t="s">
        <v>13</v>
      </c>
    </row>
    <row r="18" spans="6:6">
      <c r="F18" s="5" t="s">
        <v>14</v>
      </c>
    </row>
    <row r="19" spans="6:6">
      <c r="F19" s="5" t="s">
        <v>15</v>
      </c>
    </row>
    <row r="20" spans="6:6">
      <c r="F20" s="5" t="s">
        <v>16</v>
      </c>
    </row>
    <row r="21" spans="6:6">
      <c r="F21" s="5" t="s">
        <v>17</v>
      </c>
    </row>
    <row r="22" spans="6:6">
      <c r="F22" s="5" t="s">
        <v>18</v>
      </c>
    </row>
    <row r="23" spans="6:6">
      <c r="F23" s="5" t="s">
        <v>19</v>
      </c>
    </row>
    <row r="24" spans="6:6">
      <c r="F24" s="5" t="s">
        <v>20</v>
      </c>
    </row>
    <row r="25" spans="6:6">
      <c r="F25" s="1" t="s">
        <v>165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B3:C50"/>
  <sheetViews>
    <sheetView topLeftCell="A3" workbookViewId="0">
      <selection activeCell="C6" sqref="C6"/>
    </sheetView>
  </sheetViews>
  <sheetFormatPr baseColWidth="10" defaultRowHeight="15"/>
  <sheetData>
    <row r="3" spans="2:3">
      <c r="B3" s="7" t="s">
        <v>21</v>
      </c>
      <c r="C3" s="7" t="s">
        <v>22</v>
      </c>
    </row>
    <row r="4" spans="2:3">
      <c r="B4" s="6" t="s">
        <v>23</v>
      </c>
      <c r="C4" s="6" t="s">
        <v>24</v>
      </c>
    </row>
    <row r="5" spans="2:3">
      <c r="B5" s="6" t="s">
        <v>25</v>
      </c>
      <c r="C5" s="6" t="s">
        <v>26</v>
      </c>
    </row>
    <row r="6" spans="2:3">
      <c r="B6" s="6"/>
      <c r="C6" s="6"/>
    </row>
    <row r="7" spans="2:3">
      <c r="B7" s="6"/>
      <c r="C7" s="6"/>
    </row>
    <row r="8" spans="2:3">
      <c r="B8" s="6"/>
      <c r="C8" s="6"/>
    </row>
    <row r="9" spans="2:3">
      <c r="B9" s="6"/>
      <c r="C9" s="6"/>
    </row>
    <row r="10" spans="2:3">
      <c r="B10" s="6"/>
      <c r="C10" s="6"/>
    </row>
    <row r="11" spans="2:3">
      <c r="B11" s="6"/>
      <c r="C11" s="6"/>
    </row>
    <row r="12" spans="2:3">
      <c r="B12" s="6"/>
      <c r="C12" s="6"/>
    </row>
    <row r="13" spans="2:3">
      <c r="B13" s="6"/>
      <c r="C13" s="6"/>
    </row>
    <row r="14" spans="2:3">
      <c r="B14" s="6"/>
      <c r="C14" s="6"/>
    </row>
    <row r="15" spans="2:3">
      <c r="B15" s="6"/>
      <c r="C15" s="6"/>
    </row>
    <row r="16" spans="2:3">
      <c r="B16" s="6"/>
      <c r="C16" s="6"/>
    </row>
    <row r="17" spans="2:3">
      <c r="B17" s="6"/>
      <c r="C17" s="6"/>
    </row>
    <row r="18" spans="2:3">
      <c r="B18" s="6"/>
      <c r="C18" s="6"/>
    </row>
    <row r="19" spans="2:3">
      <c r="B19" s="6"/>
      <c r="C19" s="6"/>
    </row>
    <row r="20" spans="2:3">
      <c r="B20" s="6"/>
      <c r="C20" s="6"/>
    </row>
    <row r="21" spans="2:3">
      <c r="B21" s="6"/>
      <c r="C21" s="6"/>
    </row>
    <row r="22" spans="2:3">
      <c r="B22" s="6"/>
      <c r="C22" s="6"/>
    </row>
    <row r="23" spans="2:3">
      <c r="B23" s="6"/>
      <c r="C23" s="6"/>
    </row>
    <row r="24" spans="2:3">
      <c r="B24" s="6"/>
      <c r="C24" s="6"/>
    </row>
    <row r="25" spans="2:3">
      <c r="B25" s="6"/>
      <c r="C25" s="6"/>
    </row>
    <row r="26" spans="2:3">
      <c r="B26" s="6"/>
      <c r="C26" s="6"/>
    </row>
    <row r="27" spans="2:3">
      <c r="B27" s="6"/>
      <c r="C27" s="6"/>
    </row>
    <row r="28" spans="2:3">
      <c r="B28" s="6"/>
      <c r="C28" s="6"/>
    </row>
    <row r="29" spans="2:3">
      <c r="B29" s="6"/>
      <c r="C29" s="6"/>
    </row>
    <row r="30" spans="2:3">
      <c r="B30" s="6"/>
      <c r="C30" s="6"/>
    </row>
    <row r="31" spans="2:3">
      <c r="B31" s="6"/>
      <c r="C31" s="6"/>
    </row>
    <row r="32" spans="2:3">
      <c r="B32" s="6"/>
      <c r="C32" s="6"/>
    </row>
    <row r="33" spans="2:3">
      <c r="B33" s="6"/>
      <c r="C33" s="6"/>
    </row>
    <row r="34" spans="2:3">
      <c r="B34" s="6"/>
      <c r="C34" s="6"/>
    </row>
    <row r="35" spans="2:3">
      <c r="B35" s="6"/>
      <c r="C35" s="6"/>
    </row>
    <row r="36" spans="2:3">
      <c r="B36" s="6"/>
      <c r="C36" s="6"/>
    </row>
    <row r="37" spans="2:3">
      <c r="B37" s="6"/>
      <c r="C37" s="6"/>
    </row>
    <row r="38" spans="2:3">
      <c r="B38" s="6"/>
      <c r="C38" s="6"/>
    </row>
    <row r="39" spans="2:3">
      <c r="B39" s="6"/>
      <c r="C39" s="6"/>
    </row>
    <row r="40" spans="2:3">
      <c r="B40" s="6"/>
      <c r="C40" s="6"/>
    </row>
    <row r="41" spans="2:3">
      <c r="B41" s="6"/>
      <c r="C41" s="6"/>
    </row>
    <row r="42" spans="2:3">
      <c r="B42" s="6"/>
      <c r="C42" s="6"/>
    </row>
    <row r="43" spans="2:3">
      <c r="B43" s="6"/>
      <c r="C43" s="6"/>
    </row>
    <row r="44" spans="2:3">
      <c r="B44" s="6"/>
      <c r="C44" s="6"/>
    </row>
    <row r="45" spans="2:3">
      <c r="B45" s="6"/>
      <c r="C45" s="6"/>
    </row>
    <row r="46" spans="2:3">
      <c r="B46" s="6"/>
      <c r="C46" s="6"/>
    </row>
    <row r="47" spans="2:3">
      <c r="B47" s="6"/>
      <c r="C47" s="6"/>
    </row>
    <row r="48" spans="2:3">
      <c r="B48" s="6"/>
      <c r="C48" s="6"/>
    </row>
    <row r="49" spans="2:3">
      <c r="B49" s="6"/>
      <c r="C49" s="6"/>
    </row>
    <row r="50" spans="2:3">
      <c r="B50" s="6"/>
      <c r="C50" s="6"/>
    </row>
  </sheetData>
  <dataValidations count="1">
    <dataValidation type="list" allowBlank="1" showInputMessage="1" showErrorMessage="1" sqref="C6" xr:uid="{00000000-0002-0000-0C00-000000000000}">
      <formula1>$C$4:$C$50</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Ratings xmlns="http://schemas.microsoft.com/sharepoint/v3" xsi:nil="true"/>
    <LikedBy xmlns="http://schemas.microsoft.com/sharepoint/v3">
      <UserInfo>
        <DisplayName/>
        <AccountId xsi:nil="true"/>
        <AccountType/>
      </UserInfo>
    </LikedBy>
    <TaxCatchAll xmlns="569a4ffe-e6d8-449c-8292-59da016835df" xsi:nil="true"/>
    <lcf76f155ced4ddcb4097134ff3c332f xmlns="4ea472c5-d71d-4efe-b1dd-642201c356bb">
      <Terms xmlns="http://schemas.microsoft.com/office/infopath/2007/PartnerControls"/>
    </lcf76f155ced4ddcb4097134ff3c332f>
    <RatedBy xmlns="http://schemas.microsoft.com/sharepoint/v3">
      <UserInfo>
        <DisplayName/>
        <AccountId xsi:nil="true"/>
        <AccountType/>
      </UserInfo>
    </RatedBy>
    <SharedWithUsers xmlns="569a4ffe-e6d8-449c-8292-59da016835df">
      <UserInfo>
        <DisplayName/>
        <AccountId xsi:nil="true"/>
        <AccountType/>
      </UserInfo>
    </SharedWithUsers>
    <MediaLengthInSeconds xmlns="4ea472c5-d71d-4efe-b1dd-642201c356b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565A842193DEB4AAE97E945A11FB000" ma:contentTypeVersion="24" ma:contentTypeDescription="Crée un document." ma:contentTypeScope="" ma:versionID="969dc132cb96102aea6d65ff63db12ab">
  <xsd:schema xmlns:xsd="http://www.w3.org/2001/XMLSchema" xmlns:xs="http://www.w3.org/2001/XMLSchema" xmlns:p="http://schemas.microsoft.com/office/2006/metadata/properties" xmlns:ns1="http://schemas.microsoft.com/sharepoint/v3" xmlns:ns2="4ea472c5-d71d-4efe-b1dd-642201c356bb" xmlns:ns3="569a4ffe-e6d8-449c-8292-59da016835df" targetNamespace="http://schemas.microsoft.com/office/2006/metadata/properties" ma:root="true" ma:fieldsID="82503fe23dfe772e6ee20611fb36e5e0" ns1:_="" ns2:_="" ns3:_="">
    <xsd:import namespace="http://schemas.microsoft.com/sharepoint/v3"/>
    <xsd:import namespace="4ea472c5-d71d-4efe-b1dd-642201c356bb"/>
    <xsd:import namespace="569a4ffe-e6d8-449c-8292-59da016835d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1:AverageRating" minOccurs="0"/>
                <xsd:element ref="ns1:RatingCount" minOccurs="0"/>
                <xsd:element ref="ns1:RatedBy" minOccurs="0"/>
                <xsd:element ref="ns1:Ratings" minOccurs="0"/>
                <xsd:element ref="ns1:LikesCount" minOccurs="0"/>
                <xsd:element ref="ns1:LikedBy"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20" nillable="true" ma:displayName="Évaluation (0-5)" ma:decimals="2" ma:description="Valeur moyenne de toutes les évaluations envoyées" ma:internalName="AverageRating" ma:readOnly="true">
      <xsd:simpleType>
        <xsd:restriction base="dms:Number"/>
      </xsd:simpleType>
    </xsd:element>
    <xsd:element name="RatingCount" ma:index="21" nillable="true" ma:displayName="Nombre d’évaluations" ma:decimals="0" ma:description="Nombre d’évaluations envoyées" ma:internalName="RatingCount" ma:readOnly="true">
      <xsd:simpleType>
        <xsd:restriction base="dms:Number"/>
      </xsd:simpleType>
    </xsd:element>
    <xsd:element name="RatedBy" ma:index="22" nillable="true" ma:displayName="Évalué par" ma:description="Des utilisateurs ont évalué l'élément."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23" nillable="true" ma:displayName="Évaluation des utilisateurs" ma:description="Évaluation des utilisateurs pour l'élément" ma:hidden="true" ma:internalName="Ratings">
      <xsd:simpleType>
        <xsd:restriction base="dms:Note"/>
      </xsd:simpleType>
    </xsd:element>
    <xsd:element name="LikesCount" ma:index="24" nillable="true" ma:displayName="Nombre de « J'aime »" ma:internalName="LikesCount">
      <xsd:simpleType>
        <xsd:restriction base="dms:Unknown"/>
      </xsd:simpleType>
    </xsd:element>
    <xsd:element name="LikedBy" ma:index="25" nillable="true" ma:displayName="Aimé par"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ea472c5-d71d-4efe-b1dd-642201c356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6" nillable="true" ma:displayName="Location" ma:internalName="MediaServiceLocation" ma:readOnly="true">
      <xsd:simpleType>
        <xsd:restriction base="dms:Text"/>
      </xsd:simpleType>
    </xsd:element>
    <xsd:element name="lcf76f155ced4ddcb4097134ff3c332f" ma:index="28" nillable="true" ma:taxonomy="true" ma:internalName="lcf76f155ced4ddcb4097134ff3c332f" ma:taxonomyFieldName="MediaServiceImageTags" ma:displayName="Balises d’images" ma:readOnly="false" ma:fieldId="{5cf76f15-5ced-4ddc-b409-7134ff3c332f}" ma:taxonomyMulti="true" ma:sspId="b25dd2c8-7a94-4c0a-94a2-9355ae6918b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69a4ffe-e6d8-449c-8292-59da016835df"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9" nillable="true" ma:displayName="Taxonomy Catch All Column" ma:hidden="true" ma:list="{5503e84e-6f16-4e35-a4a4-743f98454f2e}" ma:internalName="TaxCatchAll" ma:showField="CatchAllData" ma:web="569a4ffe-e6d8-449c-8292-59da016835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61EDAD-10F5-4AFE-B188-2B75CD06B12F}">
  <ds:schemaRefs>
    <ds:schemaRef ds:uri="http://schemas.microsoft.com/sharepoint/v3/contenttype/forms"/>
  </ds:schemaRefs>
</ds:datastoreItem>
</file>

<file path=customXml/itemProps2.xml><?xml version="1.0" encoding="utf-8"?>
<ds:datastoreItem xmlns:ds="http://schemas.openxmlformats.org/officeDocument/2006/customXml" ds:itemID="{6EEE08B6-7401-42EB-9A0E-D1411EB1FCC4}">
  <ds:schemaRefs>
    <ds:schemaRef ds:uri="http://schemas.microsoft.com/office/2006/metadata/properties"/>
    <ds:schemaRef ds:uri="http://schemas.microsoft.com/office/infopath/2007/PartnerControls"/>
    <ds:schemaRef ds:uri="http://schemas.microsoft.com/sharepoint/v3"/>
    <ds:schemaRef ds:uri="569a4ffe-e6d8-449c-8292-59da016835df"/>
    <ds:schemaRef ds:uri="4ea472c5-d71d-4efe-b1dd-642201c356bb"/>
  </ds:schemaRefs>
</ds:datastoreItem>
</file>

<file path=customXml/itemProps3.xml><?xml version="1.0" encoding="utf-8"?>
<ds:datastoreItem xmlns:ds="http://schemas.openxmlformats.org/officeDocument/2006/customXml" ds:itemID="{2580BA9C-E764-40AA-82C5-70CD555B11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ea472c5-d71d-4efe-b1dd-642201c356bb"/>
    <ds:schemaRef ds:uri="569a4ffe-e6d8-449c-8292-59da016835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4</vt:i4>
      </vt:variant>
    </vt:vector>
  </HeadingPairs>
  <TitlesOfParts>
    <vt:vector size="11" baseType="lpstr">
      <vt:lpstr>Guide</vt:lpstr>
      <vt:lpstr>paramètres</vt:lpstr>
      <vt:lpstr>1-Navette achat et autorisation</vt:lpstr>
      <vt:lpstr>Procédures DRFME</vt:lpstr>
      <vt:lpstr>Astuce de calcul</vt:lpstr>
      <vt:lpstr>Liste déroulante</vt:lpstr>
      <vt:lpstr>Activité</vt:lpstr>
      <vt:lpstr>Activité</vt:lpstr>
      <vt:lpstr>Cen_ben</vt:lpstr>
      <vt:lpstr>service</vt:lpstr>
      <vt:lpstr>'1-Navette achat et autorisation'!Zone_d_impression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Achat</dc:creator>
  <cp:lastModifiedBy>Marie Jacqueline NARINDRANIAINA</cp:lastModifiedBy>
  <cp:lastPrinted>2026-03-06T07:46:25Z</cp:lastPrinted>
  <dcterms:created xsi:type="dcterms:W3CDTF">2018-07-04T08:20:09Z</dcterms:created>
  <dcterms:modified xsi:type="dcterms:W3CDTF">2026-03-06T09:52:40Z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0x0101001565A842193DEB4AAE97E945A11FB000</vt:lpwstr>
  </property>
  <property fmtid="{D5CDD505-2E9C-101B-9397-08002B2CF9AE}" pid="3" name="Order">
    <vt:r8>786700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